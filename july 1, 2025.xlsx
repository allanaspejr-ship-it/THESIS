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8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17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<sst xmlns="http://schemas.openxmlformats.org/spreadsheetml/2006/main" count="101" uniqueCount="34">
  <si>
    <t>ACTUAL DATA</t>
  </si>
  <si>
    <t>FORECASTED RBFNN</t>
  </si>
  <si>
    <t>MAPE</t>
  </si>
  <si>
    <t xml:space="preserve">Date </t>
  </si>
  <si>
    <t>TIME</t>
  </si>
  <si>
    <t>AGUS1 ACT</t>
  </si>
  <si>
    <t>AGUS2 ACT</t>
  </si>
  <si>
    <t>AGUS4 ACT</t>
  </si>
  <si>
    <t>AGUS5 ACT</t>
  </si>
  <si>
    <t>AGUS6 ACT</t>
  </si>
  <si>
    <t>AGUS7 ACT</t>
  </si>
  <si>
    <t>AGUS1 FORC</t>
  </si>
  <si>
    <t>AGUS2 FORC</t>
  </si>
  <si>
    <t>AGUS4 FORC</t>
  </si>
  <si>
    <t>AGUS5 FORC</t>
  </si>
  <si>
    <t>AGUS6 FORC</t>
  </si>
  <si>
    <t>AGUS7 FORC</t>
  </si>
  <si>
    <t>AGUS1</t>
  </si>
  <si>
    <t>AGUS2</t>
  </si>
  <si>
    <t>AGUS4</t>
  </si>
  <si>
    <t>AGUS5</t>
  </si>
  <si>
    <t>AGUS6</t>
  </si>
  <si>
    <t>AGUS7</t>
  </si>
  <si>
    <t>AVERAGE</t>
  </si>
  <si>
    <t>AGUS5 ACT U1</t>
  </si>
  <si>
    <t>AGUS5 ACT U2</t>
  </si>
  <si>
    <t>AGUS7 ACT U1</t>
  </si>
  <si>
    <t>AGUS7 ACT U2</t>
  </si>
  <si>
    <t>AGUS5_UNIT1</t>
  </si>
  <si>
    <t>AGUS5_UNIT2</t>
  </si>
  <si>
    <t>AGUS7_UNIT1</t>
  </si>
  <si>
    <t>AGUS7_UNIT2</t>
  </si>
  <si>
    <t>FORECASTED XGBOOST</t>
  </si>
  <si>
    <t>FORECASTED RANDOM FOREST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</si>
</sst>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11">
    <font>
      <sz val="10.0"/>
      <color rgb="FF000000"/>
      <name val="Arial"/>
      <scheme val="minor"/>
    </font>
    <font>
      <color theme="1"/>
      <name val="Arial"/>
      <scheme val="minor"/>
    </font>
    <font/>
    <font>
      <sz val="11.0"/>
      <color theme="1"/>
      <name val="Calibri"/>
    </font>
    <font>
      <sz val="11.0"/>
      <color rgb="FF000000"/>
      <name val="Calibri"/>
    </font>
    <font>
      <sz val="11.0"/>
      <color theme="1"/>
      <name val="Aptos Narrow"/>
    </font>
    <font>
      <sz val="11.0"/>
      <color theme="1"/>
      <name val="Arial"/>
    </font>
    <font>
      <sz val="11.0"/>
      <color rgb="FF006CBE"/>
      <name val="Consolas"/>
    </font>
    <font>
      <sz val="11.0"/>
      <color rgb="FF242424"/>
      <name val="Consolas"/>
    </font>
    <font>
      <b/>
      <sz val="11.0"/>
      <color theme="1"/>
      <name val="Calibri"/>
    </font>
    <font>
      <sz val="11.0"/>
      <color rgb="FF000000"/>
      <name val="Consolas"/>
    </font>
  </fonts>
  <fills count="8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EAD1DC"/>
        <bgColor rgb="FFEAD1D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1" numFmtId="0" xfId="0" applyAlignment="1" applyBorder="1" applyFill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2" fillId="3" fontId="1" numFmtId="0" xfId="0" applyAlignment="1" applyBorder="1" applyFill="1" applyFont="1">
      <alignment horizontal="center" readingOrder="0"/>
    </xf>
    <xf borderId="2" fillId="4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ont="1">
      <alignment readingOrder="0"/>
    </xf>
    <xf borderId="1" fillId="3" fontId="1" numFmtId="0" xfId="0" applyAlignment="1" applyBorder="1" applyFont="1">
      <alignment readingOrder="0"/>
    </xf>
    <xf borderId="1" fillId="4" fontId="1" numFmtId="0" xfId="0" applyAlignment="1" applyBorder="1" applyFont="1">
      <alignment readingOrder="0"/>
    </xf>
    <xf borderId="0" fillId="0" fontId="3" numFmtId="164" xfId="0" applyAlignment="1" applyFont="1" applyNumberFormat="1">
      <alignment horizontal="right" vertical="bottom"/>
    </xf>
    <xf borderId="1" fillId="5" fontId="4" numFmtId="0" xfId="0" applyAlignment="1" applyBorder="1" applyFill="1" applyFont="1">
      <alignment horizontal="center" readingOrder="0" shrinkToFit="0" vertical="bottom" wrapText="0"/>
    </xf>
    <xf borderId="0" fillId="0" fontId="5" numFmtId="0" xfId="0" applyAlignment="1" applyFont="1">
      <alignment horizontal="right" readingOrder="0" vertical="bottom"/>
    </xf>
    <xf borderId="0" fillId="0" fontId="6" numFmtId="0" xfId="0" applyAlignment="1" applyFont="1">
      <alignment horizontal="right" readingOrder="0" vertical="bottom"/>
    </xf>
    <xf borderId="0" fillId="0" fontId="4" numFmtId="0" xfId="0" applyAlignment="1" applyFont="1">
      <alignment horizontal="right" readingOrder="0" shrinkToFit="0" vertical="bottom" wrapText="0"/>
    </xf>
    <xf borderId="0" fillId="4" fontId="7" numFmtId="0" xfId="0" applyAlignment="1" applyFont="1">
      <alignment horizontal="left" readingOrder="0"/>
    </xf>
    <xf borderId="1" fillId="4" fontId="1" numFmtId="0" xfId="0" applyBorder="1" applyFont="1"/>
    <xf borderId="0" fillId="6" fontId="1" numFmtId="0" xfId="0" applyAlignment="1" applyFill="1" applyFont="1">
      <alignment readingOrder="0"/>
    </xf>
    <xf borderId="0" fillId="6" fontId="8" numFmtId="0" xfId="0" applyAlignment="1" applyFont="1">
      <alignment horizontal="left"/>
    </xf>
    <xf borderId="1" fillId="7" fontId="9" numFmtId="0" xfId="0" applyAlignment="1" applyBorder="1" applyFill="1" applyFont="1">
      <alignment horizontal="center" vertical="top"/>
    </xf>
    <xf borderId="0" fillId="0" fontId="3" numFmtId="0" xfId="0" applyAlignment="1" applyFont="1">
      <alignment horizontal="right" vertical="bottom"/>
    </xf>
    <xf borderId="0" fillId="4" fontId="10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1"/>
          <c:order val="1"/>
          <c:tx>
            <c:strRef>
              <c:f>Sheet1!$C$2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Sheet1!$C$3:$C$26</c:f>
              <c:numCache/>
            </c:numRef>
          </c:val>
          <c:smooth val="0"/>
        </c:ser>
        <c:axId val="1434871665"/>
        <c:axId val="2136192754"/>
      </c:lineChart>
      <c:catAx>
        <c:axId val="14348716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6192754"/>
      </c:catAx>
      <c:valAx>
        <c:axId val="21361927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48716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AGUS2 ACT and AGUS2 FORC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Sheet1!$D$1:$D$2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Sheet1!$D$3:$D$26</c:f>
              <c:numCache/>
            </c:numRef>
          </c:val>
          <c:smooth val="0"/>
        </c:ser>
        <c:ser>
          <c:idx val="1"/>
          <c:order val="1"/>
          <c:tx>
            <c:strRef>
              <c:f>Sheet1!$J$1:$J$2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Sheet1!$J$3:$J$26</c:f>
              <c:numCache/>
            </c:numRef>
          </c:val>
          <c:smooth val="0"/>
        </c:ser>
        <c:axId val="466861329"/>
        <c:axId val="1675894955"/>
      </c:lineChart>
      <c:catAx>
        <c:axId val="46686132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75894955"/>
      </c:catAx>
      <c:valAx>
        <c:axId val="167589495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686132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AGUS4 ACT and AGUS4 FORC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Sheet1!$E$1:$E$2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Sheet1!$E$3:$E$26</c:f>
              <c:numCache/>
            </c:numRef>
          </c:val>
          <c:smooth val="0"/>
        </c:ser>
        <c:ser>
          <c:idx val="1"/>
          <c:order val="1"/>
          <c:tx>
            <c:strRef>
              <c:f>Sheet1!$K$1:$K$2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Sheet1!$K$3:$K$26</c:f>
              <c:numCache/>
            </c:numRef>
          </c:val>
          <c:smooth val="0"/>
        </c:ser>
        <c:axId val="1350623870"/>
        <c:axId val="1969192784"/>
      </c:lineChart>
      <c:catAx>
        <c:axId val="13506238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69192784"/>
      </c:catAx>
      <c:valAx>
        <c:axId val="19691927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06238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AGUS5 ACT and AGUS5 FORC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Sheet1!$F$1:$F$2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Sheet1!$F$3:$F$26</c:f>
              <c:numCache/>
            </c:numRef>
          </c:val>
          <c:smooth val="0"/>
        </c:ser>
        <c:ser>
          <c:idx val="1"/>
          <c:order val="1"/>
          <c:tx>
            <c:strRef>
              <c:f>Sheet1!$L$1:$L$2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Sheet1!$L$3:$L$26</c:f>
              <c:numCache/>
            </c:numRef>
          </c:val>
          <c:smooth val="0"/>
        </c:ser>
        <c:axId val="511522103"/>
        <c:axId val="921354205"/>
      </c:lineChart>
      <c:catAx>
        <c:axId val="5115221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21354205"/>
      </c:catAx>
      <c:valAx>
        <c:axId val="9213542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152210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AGUS6 ACT and AGUS6 FORC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Sheet1!$G$1:$G$2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Sheet1!$G$3:$G$26</c:f>
              <c:numCache/>
            </c:numRef>
          </c:val>
          <c:smooth val="0"/>
        </c:ser>
        <c:ser>
          <c:idx val="1"/>
          <c:order val="1"/>
          <c:tx>
            <c:strRef>
              <c:f>Sheet1!$M$1:$M$2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Sheet1!$M$3:$M$26</c:f>
              <c:numCache/>
            </c:numRef>
          </c:val>
          <c:smooth val="0"/>
        </c:ser>
        <c:axId val="1917051054"/>
        <c:axId val="2044465518"/>
      </c:lineChart>
      <c:catAx>
        <c:axId val="19170510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4465518"/>
      </c:catAx>
      <c:valAx>
        <c:axId val="20444655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70510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AGUS7 ACT and AGUS7 FORC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Sheet1!$H$1:$H$2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Sheet1!$H$3:$H$26</c:f>
              <c:numCache/>
            </c:numRef>
          </c:val>
          <c:smooth val="0"/>
        </c:ser>
        <c:ser>
          <c:idx val="1"/>
          <c:order val="1"/>
          <c:tx>
            <c:strRef>
              <c:f>Sheet1!$N$1:$N$2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Sheet1!$N$3:$N$26</c:f>
              <c:numCache/>
            </c:numRef>
          </c:val>
          <c:smooth val="0"/>
        </c:ser>
        <c:axId val="1919964733"/>
        <c:axId val="717033863"/>
      </c:lineChart>
      <c:catAx>
        <c:axId val="19199647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7033863"/>
      </c:catAx>
      <c:valAx>
        <c:axId val="7170338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99647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AGUS1 ACT and AGUS1 FORC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Sheet1!$C$59:$C$60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Sheet1!$C$61:$C$84</c:f>
              <c:numCache/>
            </c:numRef>
          </c:val>
          <c:smooth val="0"/>
        </c:ser>
        <c:ser>
          <c:idx val="1"/>
          <c:order val="1"/>
          <c:tx>
            <c:strRef>
              <c:f>Sheet1!$I$59:$I$60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Sheet1!$I$61:$I$84</c:f>
              <c:numCache/>
            </c:numRef>
          </c:val>
          <c:smooth val="0"/>
        </c:ser>
        <c:axId val="614915392"/>
        <c:axId val="749608934"/>
      </c:lineChart>
      <c:catAx>
        <c:axId val="6149153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9608934"/>
      </c:catAx>
      <c:valAx>
        <c:axId val="7496089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491539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AGUS2 ACT and AGUS2 FORC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Sheet1!$D$59:$D$60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Sheet1!$D$61:$D$84</c:f>
              <c:numCache/>
            </c:numRef>
          </c:val>
          <c:smooth val="0"/>
        </c:ser>
        <c:ser>
          <c:idx val="1"/>
          <c:order val="1"/>
          <c:tx>
            <c:strRef>
              <c:f>Sheet1!$J$59:$J$60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Sheet1!$J$61:$J$84</c:f>
              <c:numCache/>
            </c:numRef>
          </c:val>
          <c:smooth val="0"/>
        </c:ser>
        <c:axId val="1650537742"/>
        <c:axId val="585475002"/>
      </c:lineChart>
      <c:catAx>
        <c:axId val="16505377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85475002"/>
      </c:catAx>
      <c:valAx>
        <c:axId val="5854750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505377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AGUS4 ACT and AGUS4 FORC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Sheet1!$E$59:$E$60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Sheet1!$E$61:$E$84</c:f>
              <c:numCache/>
            </c:numRef>
          </c:val>
          <c:smooth val="0"/>
        </c:ser>
        <c:ser>
          <c:idx val="1"/>
          <c:order val="1"/>
          <c:tx>
            <c:strRef>
              <c:f>Sheet1!$K$59:$K$60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Sheet1!$K$61:$K$84</c:f>
              <c:numCache/>
            </c:numRef>
          </c:val>
          <c:smooth val="0"/>
        </c:ser>
        <c:axId val="431179355"/>
        <c:axId val="109992796"/>
      </c:lineChart>
      <c:catAx>
        <c:axId val="43117935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9992796"/>
      </c:catAx>
      <c:valAx>
        <c:axId val="1099927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117935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AGUS5 ACT and AGUS5 FORC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Sheet1!$F$59:$F$60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Sheet1!$F$61:$F$84</c:f>
              <c:numCache/>
            </c:numRef>
          </c:val>
          <c:smooth val="0"/>
        </c:ser>
        <c:ser>
          <c:idx val="1"/>
          <c:order val="1"/>
          <c:tx>
            <c:strRef>
              <c:f>Sheet1!$L$59:$L$60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Sheet1!$L$61:$L$84</c:f>
              <c:numCache/>
            </c:numRef>
          </c:val>
          <c:smooth val="0"/>
        </c:ser>
        <c:axId val="875084721"/>
        <c:axId val="2106512728"/>
      </c:lineChart>
      <c:catAx>
        <c:axId val="8750847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6512728"/>
      </c:catAx>
      <c:valAx>
        <c:axId val="21065127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50847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AGUS6 ACT and AGUS6 FORC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Sheet1!$G$59:$G$60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Sheet1!$G$61:$G$84</c:f>
              <c:numCache/>
            </c:numRef>
          </c:val>
          <c:smooth val="0"/>
        </c:ser>
        <c:ser>
          <c:idx val="1"/>
          <c:order val="1"/>
          <c:tx>
            <c:strRef>
              <c:f>Sheet1!$M$59:$M$60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Sheet1!$M$61:$M$84</c:f>
              <c:numCache/>
            </c:numRef>
          </c:val>
          <c:smooth val="0"/>
        </c:ser>
        <c:axId val="6005680"/>
        <c:axId val="1446639266"/>
      </c:lineChart>
      <c:catAx>
        <c:axId val="6005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6639266"/>
      </c:catAx>
      <c:valAx>
        <c:axId val="14466392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00568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AGUS7 ACT and AGUS7 FORC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Sheet1!$H$59:$H$60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Sheet1!$H$61:$H$84</c:f>
              <c:numCache/>
            </c:numRef>
          </c:val>
          <c:smooth val="0"/>
        </c:ser>
        <c:ser>
          <c:idx val="1"/>
          <c:order val="1"/>
          <c:tx>
            <c:strRef>
              <c:f>Sheet1!$N$59:$N$60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Sheet1!$N$61:$N$84</c:f>
              <c:numCache/>
            </c:numRef>
          </c:val>
          <c:smooth val="0"/>
        </c:ser>
        <c:axId val="1021111061"/>
        <c:axId val="93456241"/>
      </c:lineChart>
      <c:catAx>
        <c:axId val="10211110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3456241"/>
      </c:catAx>
      <c:valAx>
        <c:axId val="934562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211110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AGUS1 ACT and AGUS1 FORC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Sheet1!$C$92:$C$93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Sheet1!$C$94:$C$117</c:f>
              <c:numCache/>
            </c:numRef>
          </c:val>
          <c:smooth val="0"/>
        </c:ser>
        <c:ser>
          <c:idx val="1"/>
          <c:order val="1"/>
          <c:tx>
            <c:strRef>
              <c:f>Sheet1!$I$92:$I$93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Sheet1!$I$94:$I$117</c:f>
              <c:numCache/>
            </c:numRef>
          </c:val>
          <c:smooth val="0"/>
        </c:ser>
        <c:axId val="1917273091"/>
        <c:axId val="1166013311"/>
      </c:lineChart>
      <c:catAx>
        <c:axId val="19172730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66013311"/>
      </c:catAx>
      <c:valAx>
        <c:axId val="11660133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72730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AGUS2 ACT and AGUS2 FORC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Sheet1!$D$92:$D$93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Sheet1!$D$94:$D$117</c:f>
              <c:numCache/>
            </c:numRef>
          </c:val>
          <c:smooth val="0"/>
        </c:ser>
        <c:ser>
          <c:idx val="1"/>
          <c:order val="1"/>
          <c:tx>
            <c:strRef>
              <c:f>Sheet1!$J$92:$J$93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Sheet1!$J$94:$J$117</c:f>
              <c:numCache/>
            </c:numRef>
          </c:val>
          <c:smooth val="0"/>
        </c:ser>
        <c:axId val="1403199315"/>
        <c:axId val="449134126"/>
      </c:lineChart>
      <c:catAx>
        <c:axId val="140319931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49134126"/>
      </c:catAx>
      <c:valAx>
        <c:axId val="4491341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319931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AGUS4 ACT and AGUS4 FORC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Sheet1!$E$92:$E$93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Sheet1!$E$94:$E$117</c:f>
              <c:numCache/>
            </c:numRef>
          </c:val>
          <c:smooth val="0"/>
        </c:ser>
        <c:ser>
          <c:idx val="1"/>
          <c:order val="1"/>
          <c:tx>
            <c:strRef>
              <c:f>Sheet1!$K$92:$K$93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Sheet1!$K$94:$K$117</c:f>
              <c:numCache/>
            </c:numRef>
          </c:val>
          <c:smooth val="0"/>
        </c:ser>
        <c:axId val="1816794473"/>
        <c:axId val="1300426310"/>
      </c:lineChart>
      <c:catAx>
        <c:axId val="18167944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00426310"/>
      </c:catAx>
      <c:valAx>
        <c:axId val="130042631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67944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AGUS5 ACT and AGUS5 FORC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Sheet1!$F$92:$F$93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Sheet1!$F$94:$F$117</c:f>
              <c:numCache/>
            </c:numRef>
          </c:val>
          <c:smooth val="0"/>
        </c:ser>
        <c:ser>
          <c:idx val="1"/>
          <c:order val="1"/>
          <c:tx>
            <c:strRef>
              <c:f>Sheet1!$L$92:$L$93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Sheet1!$L$94:$L$117</c:f>
              <c:numCache/>
            </c:numRef>
          </c:val>
          <c:smooth val="0"/>
        </c:ser>
        <c:axId val="1133662785"/>
        <c:axId val="839102916"/>
      </c:lineChart>
      <c:catAx>
        <c:axId val="11336627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9102916"/>
      </c:catAx>
      <c:valAx>
        <c:axId val="83910291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36627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AGUS6 ACT and AGUS6 FORC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Sheet1!$G$92:$G$93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Sheet1!$G$94:$G$117</c:f>
              <c:numCache/>
            </c:numRef>
          </c:val>
          <c:smooth val="0"/>
        </c:ser>
        <c:ser>
          <c:idx val="1"/>
          <c:order val="1"/>
          <c:tx>
            <c:strRef>
              <c:f>Sheet1!$M$92:$M$93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Sheet1!$M$94:$M$117</c:f>
              <c:numCache/>
            </c:numRef>
          </c:val>
          <c:smooth val="0"/>
        </c:ser>
        <c:axId val="773675828"/>
        <c:axId val="1368546401"/>
      </c:lineChart>
      <c:catAx>
        <c:axId val="7736758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68546401"/>
      </c:catAx>
      <c:valAx>
        <c:axId val="13685464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736758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AGUS7 ACT and AGUS7 FORC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Sheet1!$H$92:$H$93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Sheet1!$H$94:$H$117</c:f>
              <c:numCache/>
            </c:numRef>
          </c:val>
          <c:smooth val="0"/>
        </c:ser>
        <c:ser>
          <c:idx val="1"/>
          <c:order val="1"/>
          <c:tx>
            <c:strRef>
              <c:f>Sheet1!$N$92:$N$93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Sheet1!$N$94:$N$117</c:f>
              <c:numCache/>
            </c:numRef>
          </c:val>
          <c:smooth val="0"/>
        </c:ser>
        <c:axId val="892991047"/>
        <c:axId val="797726941"/>
      </c:lineChart>
      <c:catAx>
        <c:axId val="892991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97726941"/>
      </c:catAx>
      <c:valAx>
        <c:axId val="7977269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929910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1" Type="http://schemas.openxmlformats.org/officeDocument/2006/relationships/chart" Target="../charts/chart11.xml"/><Relationship Id="rId10" Type="http://schemas.openxmlformats.org/officeDocument/2006/relationships/chart" Target="../charts/chart10.xml"/><Relationship Id="rId13" Type="http://schemas.openxmlformats.org/officeDocument/2006/relationships/chart" Target="../charts/chart13.xml"/><Relationship Id="rId12" Type="http://schemas.openxmlformats.org/officeDocument/2006/relationships/chart" Target="../charts/chart12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5" Type="http://schemas.openxmlformats.org/officeDocument/2006/relationships/chart" Target="../charts/chart15.xml"/><Relationship Id="rId14" Type="http://schemas.openxmlformats.org/officeDocument/2006/relationships/chart" Target="../charts/chart14.xml"/><Relationship Id="rId17" Type="http://schemas.openxmlformats.org/officeDocument/2006/relationships/chart" Target="../charts/chart17.xml"/><Relationship Id="rId16" Type="http://schemas.openxmlformats.org/officeDocument/2006/relationships/chart" Target="../charts/chart16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18" Type="http://schemas.openxmlformats.org/officeDocument/2006/relationships/chart" Target="../charts/chart18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257175</xdr:colOff>
      <xdr:row>1</xdr:row>
      <xdr:rowOff>152400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26</xdr:col>
      <xdr:colOff>457200</xdr:colOff>
      <xdr:row>1</xdr:row>
      <xdr:rowOff>152400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32</xdr:col>
      <xdr:colOff>752475</xdr:colOff>
      <xdr:row>1</xdr:row>
      <xdr:rowOff>152400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39</xdr:col>
      <xdr:colOff>19050</xdr:colOff>
      <xdr:row>1</xdr:row>
      <xdr:rowOff>152400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45</xdr:col>
      <xdr:colOff>419100</xdr:colOff>
      <xdr:row>1</xdr:row>
      <xdr:rowOff>200025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51</xdr:col>
      <xdr:colOff>895350</xdr:colOff>
      <xdr:row>1</xdr:row>
      <xdr:rowOff>152400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20</xdr:col>
      <xdr:colOff>142875</xdr:colOff>
      <xdr:row>59</xdr:row>
      <xdr:rowOff>104775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26</xdr:col>
      <xdr:colOff>762000</xdr:colOff>
      <xdr:row>59</xdr:row>
      <xdr:rowOff>180975</xdr:rowOff>
    </xdr:from>
    <xdr:ext cx="5715000" cy="3533775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33</xdr:col>
      <xdr:colOff>142875</xdr:colOff>
      <xdr:row>59</xdr:row>
      <xdr:rowOff>104775</xdr:rowOff>
    </xdr:from>
    <xdr:ext cx="5715000" cy="3533775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  <xdr:oneCellAnchor>
    <xdr:from>
      <xdr:col>39</xdr:col>
      <xdr:colOff>476250</xdr:colOff>
      <xdr:row>59</xdr:row>
      <xdr:rowOff>180975</xdr:rowOff>
    </xdr:from>
    <xdr:ext cx="57150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0"/>
        </a:graphicData>
      </a:graphic>
    </xdr:graphicFrame>
    <xdr:clientData fLocksWithSheet="0"/>
  </xdr:oneCellAnchor>
  <xdr:oneCellAnchor>
    <xdr:from>
      <xdr:col>45</xdr:col>
      <xdr:colOff>809625</xdr:colOff>
      <xdr:row>59</xdr:row>
      <xdr:rowOff>104775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1"/>
        </a:graphicData>
      </a:graphic>
    </xdr:graphicFrame>
    <xdr:clientData fLocksWithSheet="0"/>
  </xdr:oneCellAnchor>
  <xdr:oneCellAnchor>
    <xdr:from>
      <xdr:col>52</xdr:col>
      <xdr:colOff>180975</xdr:colOff>
      <xdr:row>59</xdr:row>
      <xdr:rowOff>114300</xdr:rowOff>
    </xdr:from>
    <xdr:ext cx="5715000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2"/>
        </a:graphicData>
      </a:graphic>
    </xdr:graphicFrame>
    <xdr:clientData fLocksWithSheet="0"/>
  </xdr:oneCellAnchor>
  <xdr:oneCellAnchor>
    <xdr:from>
      <xdr:col>20</xdr:col>
      <xdr:colOff>257175</xdr:colOff>
      <xdr:row>93</xdr:row>
      <xdr:rowOff>171450</xdr:rowOff>
    </xdr:from>
    <xdr:ext cx="5715000" cy="3533775"/>
    <xdr:graphicFrame>
      <xdr:nvGraphicFramePr>
        <xdr:cNvPr id="13" name="Chart 1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3"/>
        </a:graphicData>
      </a:graphic>
    </xdr:graphicFrame>
    <xdr:clientData fLocksWithSheet="0"/>
  </xdr:oneCellAnchor>
  <xdr:oneCellAnchor>
    <xdr:from>
      <xdr:col>26</xdr:col>
      <xdr:colOff>457200</xdr:colOff>
      <xdr:row>93</xdr:row>
      <xdr:rowOff>171450</xdr:rowOff>
    </xdr:from>
    <xdr:ext cx="5715000" cy="3533775"/>
    <xdr:graphicFrame>
      <xdr:nvGraphicFramePr>
        <xdr:cNvPr id="14" name="Chart 1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4"/>
        </a:graphicData>
      </a:graphic>
    </xdr:graphicFrame>
    <xdr:clientData fLocksWithSheet="0"/>
  </xdr:oneCellAnchor>
  <xdr:oneCellAnchor>
    <xdr:from>
      <xdr:col>32</xdr:col>
      <xdr:colOff>828675</xdr:colOff>
      <xdr:row>94</xdr:row>
      <xdr:rowOff>76200</xdr:rowOff>
    </xdr:from>
    <xdr:ext cx="5715000" cy="3533775"/>
    <xdr:graphicFrame>
      <xdr:nvGraphicFramePr>
        <xdr:cNvPr id="15" name="Chart 1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5"/>
        </a:graphicData>
      </a:graphic>
    </xdr:graphicFrame>
    <xdr:clientData fLocksWithSheet="0"/>
  </xdr:oneCellAnchor>
  <xdr:oneCellAnchor>
    <xdr:from>
      <xdr:col>39</xdr:col>
      <xdr:colOff>428625</xdr:colOff>
      <xdr:row>94</xdr:row>
      <xdr:rowOff>76200</xdr:rowOff>
    </xdr:from>
    <xdr:ext cx="5715000" cy="3533775"/>
    <xdr:graphicFrame>
      <xdr:nvGraphicFramePr>
        <xdr:cNvPr id="16" name="Chart 1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6"/>
        </a:graphicData>
      </a:graphic>
    </xdr:graphicFrame>
    <xdr:clientData fLocksWithSheet="0"/>
  </xdr:oneCellAnchor>
  <xdr:oneCellAnchor>
    <xdr:from>
      <xdr:col>46</xdr:col>
      <xdr:colOff>38100</xdr:colOff>
      <xdr:row>94</xdr:row>
      <xdr:rowOff>171450</xdr:rowOff>
    </xdr:from>
    <xdr:ext cx="5715000" cy="3533775"/>
    <xdr:graphicFrame>
      <xdr:nvGraphicFramePr>
        <xdr:cNvPr id="17" name="Chart 1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7"/>
        </a:graphicData>
      </a:graphic>
    </xdr:graphicFrame>
    <xdr:clientData fLocksWithSheet="0"/>
  </xdr:oneCellAnchor>
  <xdr:oneCellAnchor>
    <xdr:from>
      <xdr:col>53</xdr:col>
      <xdr:colOff>171450</xdr:colOff>
      <xdr:row>94</xdr:row>
      <xdr:rowOff>171450</xdr:rowOff>
    </xdr:from>
    <xdr:ext cx="5715000" cy="3533775"/>
    <xdr:graphicFrame>
      <xdr:nvGraphicFramePr>
        <xdr:cNvPr id="18" name="Chart 1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8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2" t="s">
        <v>0</v>
      </c>
      <c r="D1" s="3"/>
      <c r="E1" s="3"/>
      <c r="F1" s="3"/>
      <c r="G1" s="3"/>
      <c r="H1" s="4"/>
      <c r="I1" s="5" t="s">
        <v>1</v>
      </c>
      <c r="J1" s="3"/>
      <c r="K1" s="3"/>
      <c r="L1" s="3"/>
      <c r="M1" s="3"/>
      <c r="N1" s="4"/>
      <c r="O1" s="6" t="s">
        <v>2</v>
      </c>
      <c r="P1" s="3"/>
      <c r="Q1" s="3"/>
      <c r="R1" s="3"/>
      <c r="S1" s="3"/>
      <c r="T1" s="4"/>
    </row>
    <row r="2">
      <c r="A2" s="7" t="s">
        <v>3</v>
      </c>
      <c r="B2" s="7" t="s">
        <v>4</v>
      </c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10</v>
      </c>
      <c r="I2" s="9" t="s">
        <v>11</v>
      </c>
      <c r="J2" s="9" t="s">
        <v>12</v>
      </c>
      <c r="K2" s="9" t="s">
        <v>13</v>
      </c>
      <c r="L2" s="9" t="s">
        <v>14</v>
      </c>
      <c r="M2" s="9" t="s">
        <v>15</v>
      </c>
      <c r="N2" s="9" t="s">
        <v>16</v>
      </c>
      <c r="O2" s="10" t="s">
        <v>17</v>
      </c>
      <c r="P2" s="10" t="s">
        <v>18</v>
      </c>
      <c r="Q2" s="10" t="s">
        <v>19</v>
      </c>
      <c r="R2" s="10" t="s">
        <v>20</v>
      </c>
      <c r="S2" s="10" t="s">
        <v>21</v>
      </c>
      <c r="T2" s="10" t="s">
        <v>22</v>
      </c>
    </row>
    <row r="3">
      <c r="A3" s="11">
        <v>45839.0</v>
      </c>
      <c r="B3" s="12">
        <v>1.0</v>
      </c>
      <c r="C3" s="13">
        <v>60.0</v>
      </c>
      <c r="D3" s="14">
        <v>130.0</v>
      </c>
      <c r="E3" s="14">
        <v>141.0</v>
      </c>
      <c r="F3" s="13">
        <v>46.0</v>
      </c>
      <c r="G3" s="14">
        <v>158.3</v>
      </c>
      <c r="H3" s="14">
        <v>44.0</v>
      </c>
      <c r="I3" s="15">
        <v>60.70254</v>
      </c>
      <c r="J3" s="15">
        <v>129.9613</v>
      </c>
      <c r="K3" s="15">
        <v>140.6583</v>
      </c>
      <c r="L3" s="15">
        <v>42.64802</v>
      </c>
      <c r="M3" s="15">
        <v>157.5336</v>
      </c>
      <c r="N3" s="15">
        <v>44.62429</v>
      </c>
      <c r="O3" s="16">
        <f t="shared" ref="O3:T3" si="1"> ABS(C3-I3)*100/C3</f>
        <v>1.1709</v>
      </c>
      <c r="P3" s="17">
        <f t="shared" si="1"/>
        <v>0.02976923077</v>
      </c>
      <c r="Q3" s="17">
        <f t="shared" si="1"/>
        <v>0.2423404255</v>
      </c>
      <c r="R3" s="17">
        <f t="shared" si="1"/>
        <v>7.286913043</v>
      </c>
      <c r="S3" s="17">
        <f t="shared" si="1"/>
        <v>0.4841440303</v>
      </c>
      <c r="T3" s="17">
        <f t="shared" si="1"/>
        <v>1.418840909</v>
      </c>
    </row>
    <row r="4">
      <c r="A4" s="11">
        <v>45839.0</v>
      </c>
      <c r="B4" s="12">
        <v>2.0</v>
      </c>
      <c r="C4" s="13">
        <v>63.0</v>
      </c>
      <c r="D4" s="14">
        <v>130.0</v>
      </c>
      <c r="E4" s="14">
        <v>141.0</v>
      </c>
      <c r="F4" s="13">
        <v>45.8</v>
      </c>
      <c r="G4" s="14">
        <v>158.3</v>
      </c>
      <c r="H4" s="14">
        <v>44.0</v>
      </c>
      <c r="I4" s="15">
        <v>60.6811</v>
      </c>
      <c r="J4" s="15">
        <v>129.9511</v>
      </c>
      <c r="K4" s="15">
        <v>140.6574</v>
      </c>
      <c r="L4" s="15">
        <v>42.63854</v>
      </c>
      <c r="M4" s="15">
        <v>157.5339</v>
      </c>
      <c r="N4" s="15">
        <v>44.62438</v>
      </c>
      <c r="O4" s="16">
        <f t="shared" ref="O4:T4" si="2"> ABS(C4-I4)*100/C4</f>
        <v>3.680793651</v>
      </c>
      <c r="P4" s="17">
        <f t="shared" si="2"/>
        <v>0.03761538462</v>
      </c>
      <c r="Q4" s="17">
        <f t="shared" si="2"/>
        <v>0.2429787234</v>
      </c>
      <c r="R4" s="17">
        <f t="shared" si="2"/>
        <v>6.902751092</v>
      </c>
      <c r="S4" s="17">
        <f t="shared" si="2"/>
        <v>0.4839545167</v>
      </c>
      <c r="T4" s="17">
        <f t="shared" si="2"/>
        <v>1.419045455</v>
      </c>
    </row>
    <row r="5">
      <c r="A5" s="11">
        <v>45839.0</v>
      </c>
      <c r="B5" s="12">
        <v>3.0</v>
      </c>
      <c r="C5" s="13">
        <v>64.0</v>
      </c>
      <c r="D5" s="14">
        <v>130.0</v>
      </c>
      <c r="E5" s="14">
        <v>141.0</v>
      </c>
      <c r="F5" s="13">
        <v>46.2</v>
      </c>
      <c r="G5" s="14">
        <v>158.3</v>
      </c>
      <c r="H5" s="14">
        <v>44.0</v>
      </c>
      <c r="I5" s="15">
        <v>60.69744</v>
      </c>
      <c r="J5" s="15">
        <v>129.9408</v>
      </c>
      <c r="K5" s="15">
        <v>140.6565</v>
      </c>
      <c r="L5" s="15">
        <v>42.62906</v>
      </c>
      <c r="M5" s="15">
        <v>157.5342</v>
      </c>
      <c r="N5" s="15">
        <v>44.62447</v>
      </c>
      <c r="O5" s="16">
        <f t="shared" ref="O5:T5" si="3"> ABS(C5-I5)*100/C5</f>
        <v>5.16025</v>
      </c>
      <c r="P5" s="17">
        <f t="shared" si="3"/>
        <v>0.04553846154</v>
      </c>
      <c r="Q5" s="17">
        <f t="shared" si="3"/>
        <v>0.2436170213</v>
      </c>
      <c r="R5" s="17">
        <f t="shared" si="3"/>
        <v>7.729307359</v>
      </c>
      <c r="S5" s="17">
        <f t="shared" si="3"/>
        <v>0.4837650032</v>
      </c>
      <c r="T5" s="17">
        <f t="shared" si="3"/>
        <v>1.41925</v>
      </c>
    </row>
    <row r="6">
      <c r="A6" s="11">
        <v>45839.0</v>
      </c>
      <c r="B6" s="12">
        <v>4.0</v>
      </c>
      <c r="C6" s="13">
        <v>63.0</v>
      </c>
      <c r="D6" s="14">
        <v>130.0</v>
      </c>
      <c r="E6" s="14">
        <v>141.0</v>
      </c>
      <c r="F6" s="13">
        <v>45.8</v>
      </c>
      <c r="G6" s="14">
        <v>158.3</v>
      </c>
      <c r="H6" s="14">
        <v>44.0</v>
      </c>
      <c r="I6" s="15">
        <v>60.7569</v>
      </c>
      <c r="J6" s="15">
        <v>129.9306</v>
      </c>
      <c r="K6" s="15">
        <v>140.6556</v>
      </c>
      <c r="L6" s="15">
        <v>42.61958</v>
      </c>
      <c r="M6" s="15">
        <v>157.5346</v>
      </c>
      <c r="N6" s="15">
        <v>44.62456</v>
      </c>
      <c r="O6" s="16">
        <f t="shared" ref="O6:T6" si="4"> ABS(C6-I6)*100/C6</f>
        <v>3.56047619</v>
      </c>
      <c r="P6" s="17">
        <f t="shared" si="4"/>
        <v>0.05338461538</v>
      </c>
      <c r="Q6" s="17">
        <f t="shared" si="4"/>
        <v>0.2442553191</v>
      </c>
      <c r="R6" s="17">
        <f t="shared" si="4"/>
        <v>6.944148472</v>
      </c>
      <c r="S6" s="17">
        <f t="shared" si="4"/>
        <v>0.4835123184</v>
      </c>
      <c r="T6" s="17">
        <f t="shared" si="4"/>
        <v>1.419454545</v>
      </c>
    </row>
    <row r="7">
      <c r="A7" s="11">
        <v>45839.0</v>
      </c>
      <c r="B7" s="12">
        <v>5.0</v>
      </c>
      <c r="C7" s="13">
        <v>64.0</v>
      </c>
      <c r="D7" s="14">
        <v>130.0</v>
      </c>
      <c r="E7" s="14">
        <v>141.0</v>
      </c>
      <c r="F7" s="13">
        <v>45.8</v>
      </c>
      <c r="G7" s="14">
        <v>158.3</v>
      </c>
      <c r="H7" s="14">
        <v>44.0</v>
      </c>
      <c r="I7" s="15">
        <v>60.79251</v>
      </c>
      <c r="J7" s="15">
        <v>129.9203</v>
      </c>
      <c r="K7" s="15">
        <v>140.6548</v>
      </c>
      <c r="L7" s="15">
        <v>42.61011</v>
      </c>
      <c r="M7" s="15">
        <v>157.5349</v>
      </c>
      <c r="N7" s="15">
        <v>44.62465</v>
      </c>
      <c r="O7" s="16">
        <f t="shared" ref="O7:T7" si="5"> ABS(C7-I7)*100/C7</f>
        <v>5.011703125</v>
      </c>
      <c r="P7" s="17">
        <f t="shared" si="5"/>
        <v>0.06130769231</v>
      </c>
      <c r="Q7" s="17">
        <f t="shared" si="5"/>
        <v>0.244822695</v>
      </c>
      <c r="R7" s="17">
        <f t="shared" si="5"/>
        <v>6.964825328</v>
      </c>
      <c r="S7" s="17">
        <f t="shared" si="5"/>
        <v>0.4833228048</v>
      </c>
      <c r="T7" s="17">
        <f t="shared" si="5"/>
        <v>1.419659091</v>
      </c>
    </row>
    <row r="8">
      <c r="A8" s="11">
        <v>45839.0</v>
      </c>
      <c r="B8" s="12">
        <v>6.0</v>
      </c>
      <c r="C8" s="13">
        <v>61.0</v>
      </c>
      <c r="D8" s="14">
        <v>130.0</v>
      </c>
      <c r="E8" s="14">
        <v>141.0</v>
      </c>
      <c r="F8" s="13">
        <v>45.7</v>
      </c>
      <c r="G8" s="14">
        <v>158.3</v>
      </c>
      <c r="H8" s="14">
        <v>44.0</v>
      </c>
      <c r="I8" s="15">
        <v>60.79659</v>
      </c>
      <c r="J8" s="15">
        <v>129.91</v>
      </c>
      <c r="K8" s="15">
        <v>140.6539</v>
      </c>
      <c r="L8" s="15">
        <v>42.60063</v>
      </c>
      <c r="M8" s="15">
        <v>157.5352</v>
      </c>
      <c r="N8" s="15">
        <v>44.62474</v>
      </c>
      <c r="O8" s="16">
        <f t="shared" ref="O8:T8" si="6"> ABS(C8-I8)*100/C8</f>
        <v>0.3334590164</v>
      </c>
      <c r="P8" s="17">
        <f t="shared" si="6"/>
        <v>0.06923076923</v>
      </c>
      <c r="Q8" s="17">
        <f t="shared" si="6"/>
        <v>0.2454609929</v>
      </c>
      <c r="R8" s="17">
        <f t="shared" si="6"/>
        <v>6.781991247</v>
      </c>
      <c r="S8" s="17">
        <f t="shared" si="6"/>
        <v>0.4831332912</v>
      </c>
      <c r="T8" s="17">
        <f t="shared" si="6"/>
        <v>1.419863636</v>
      </c>
    </row>
    <row r="9">
      <c r="A9" s="11">
        <v>45839.0</v>
      </c>
      <c r="B9" s="12">
        <v>7.0</v>
      </c>
      <c r="C9" s="13">
        <v>59.0</v>
      </c>
      <c r="D9" s="14">
        <v>130.0</v>
      </c>
      <c r="E9" s="14">
        <v>141.0</v>
      </c>
      <c r="F9" s="13">
        <v>46.4</v>
      </c>
      <c r="G9" s="14">
        <v>158.3</v>
      </c>
      <c r="H9" s="14">
        <v>44.0</v>
      </c>
      <c r="I9" s="15">
        <v>60.85122</v>
      </c>
      <c r="J9" s="15">
        <v>129.8998</v>
      </c>
      <c r="K9" s="15">
        <v>140.653</v>
      </c>
      <c r="L9" s="15">
        <v>42.59115</v>
      </c>
      <c r="M9" s="15">
        <v>157.5355</v>
      </c>
      <c r="N9" s="15">
        <v>44.62483</v>
      </c>
      <c r="O9" s="16">
        <f t="shared" ref="O9:T9" si="7"> ABS(C9-I9)*100/C9</f>
        <v>3.137661017</v>
      </c>
      <c r="P9" s="17">
        <f t="shared" si="7"/>
        <v>0.07707692308</v>
      </c>
      <c r="Q9" s="17">
        <f t="shared" si="7"/>
        <v>0.2460992908</v>
      </c>
      <c r="R9" s="17">
        <f t="shared" si="7"/>
        <v>8.208728448</v>
      </c>
      <c r="S9" s="17">
        <f t="shared" si="7"/>
        <v>0.4829437776</v>
      </c>
      <c r="T9" s="17">
        <f t="shared" si="7"/>
        <v>1.420068182</v>
      </c>
    </row>
    <row r="10">
      <c r="A10" s="11">
        <v>45839.0</v>
      </c>
      <c r="B10" s="12">
        <v>8.0</v>
      </c>
      <c r="C10" s="13">
        <v>58.0</v>
      </c>
      <c r="D10" s="14">
        <v>130.0</v>
      </c>
      <c r="E10" s="14">
        <v>141.0</v>
      </c>
      <c r="F10" s="13">
        <v>45.9</v>
      </c>
      <c r="G10" s="14">
        <v>158.3</v>
      </c>
      <c r="H10" s="14">
        <v>40.0</v>
      </c>
      <c r="I10" s="15">
        <v>60.90172</v>
      </c>
      <c r="J10" s="15">
        <v>129.8895</v>
      </c>
      <c r="K10" s="15">
        <v>140.6521</v>
      </c>
      <c r="L10" s="15">
        <v>42.58167</v>
      </c>
      <c r="M10" s="15">
        <v>157.5358</v>
      </c>
      <c r="N10" s="15">
        <v>44.62492</v>
      </c>
      <c r="O10" s="16">
        <f t="shared" ref="O10:T10" si="8"> ABS(C10-I10)*100/C10</f>
        <v>5.002965517</v>
      </c>
      <c r="P10" s="17">
        <f t="shared" si="8"/>
        <v>0.085</v>
      </c>
      <c r="Q10" s="17">
        <f t="shared" si="8"/>
        <v>0.2467375887</v>
      </c>
      <c r="R10" s="17">
        <f t="shared" si="8"/>
        <v>7.229477124</v>
      </c>
      <c r="S10" s="17">
        <f t="shared" si="8"/>
        <v>0.4827542641</v>
      </c>
      <c r="T10" s="17">
        <f t="shared" si="8"/>
        <v>11.5623</v>
      </c>
    </row>
    <row r="11">
      <c r="A11" s="11">
        <v>45839.0</v>
      </c>
      <c r="B11" s="12">
        <v>9.0</v>
      </c>
      <c r="C11" s="13">
        <v>62.0</v>
      </c>
      <c r="D11" s="14">
        <v>130.0</v>
      </c>
      <c r="E11" s="14">
        <v>141.0</v>
      </c>
      <c r="F11" s="13">
        <v>42.9</v>
      </c>
      <c r="G11" s="14">
        <v>158.3</v>
      </c>
      <c r="H11" s="14">
        <v>40.0</v>
      </c>
      <c r="I11" s="15">
        <v>60.91431</v>
      </c>
      <c r="J11" s="15">
        <v>129.8793</v>
      </c>
      <c r="K11" s="15">
        <v>140.6512</v>
      </c>
      <c r="L11" s="15">
        <v>42.57219</v>
      </c>
      <c r="M11" s="15">
        <v>157.5361</v>
      </c>
      <c r="N11" s="15">
        <v>44.62501</v>
      </c>
      <c r="O11" s="16">
        <f t="shared" ref="O11:T11" si="9"> ABS(C11-I11)*100/C11</f>
        <v>1.751112903</v>
      </c>
      <c r="P11" s="17">
        <f t="shared" si="9"/>
        <v>0.09284615385</v>
      </c>
      <c r="Q11" s="17">
        <f t="shared" si="9"/>
        <v>0.2473758865</v>
      </c>
      <c r="R11" s="17">
        <f t="shared" si="9"/>
        <v>0.7641258741</v>
      </c>
      <c r="S11" s="17">
        <f t="shared" si="9"/>
        <v>0.4825647505</v>
      </c>
      <c r="T11" s="17">
        <f t="shared" si="9"/>
        <v>11.562525</v>
      </c>
    </row>
    <row r="12">
      <c r="A12" s="11">
        <v>45839.0</v>
      </c>
      <c r="B12" s="12">
        <v>10.0</v>
      </c>
      <c r="C12" s="13">
        <v>57.0</v>
      </c>
      <c r="D12" s="14">
        <v>130.0</v>
      </c>
      <c r="E12" s="14">
        <v>141.0</v>
      </c>
      <c r="F12" s="13">
        <v>39.4</v>
      </c>
      <c r="G12" s="14">
        <v>158.3</v>
      </c>
      <c r="H12" s="14">
        <v>40.0</v>
      </c>
      <c r="I12" s="15">
        <v>60.9806</v>
      </c>
      <c r="J12" s="15">
        <v>129.869</v>
      </c>
      <c r="K12" s="15">
        <v>140.6503</v>
      </c>
      <c r="L12" s="15">
        <v>42.56271</v>
      </c>
      <c r="M12" s="15">
        <v>157.5365</v>
      </c>
      <c r="N12" s="15">
        <v>44.62509</v>
      </c>
      <c r="O12" s="16">
        <f t="shared" ref="O12:T12" si="10"> ABS(C12-I12)*100/C12</f>
        <v>6.983508772</v>
      </c>
      <c r="P12" s="17">
        <f t="shared" si="10"/>
        <v>0.1007692308</v>
      </c>
      <c r="Q12" s="17">
        <f t="shared" si="10"/>
        <v>0.2480141844</v>
      </c>
      <c r="R12" s="17">
        <f t="shared" si="10"/>
        <v>8.027182741</v>
      </c>
      <c r="S12" s="17">
        <f t="shared" si="10"/>
        <v>0.4823120657</v>
      </c>
      <c r="T12" s="17">
        <f t="shared" si="10"/>
        <v>11.562725</v>
      </c>
    </row>
    <row r="13">
      <c r="A13" s="11">
        <v>45839.0</v>
      </c>
      <c r="B13" s="12">
        <v>11.0</v>
      </c>
      <c r="C13" s="13">
        <v>61.0</v>
      </c>
      <c r="D13" s="14">
        <v>130.0</v>
      </c>
      <c r="E13" s="14">
        <v>141.0</v>
      </c>
      <c r="F13" s="13">
        <v>42.7</v>
      </c>
      <c r="G13" s="14">
        <v>158.3</v>
      </c>
      <c r="H13" s="14">
        <v>40.0</v>
      </c>
      <c r="I13" s="15">
        <v>61.02207</v>
      </c>
      <c r="J13" s="15">
        <v>129.8588</v>
      </c>
      <c r="K13" s="15">
        <v>140.6494</v>
      </c>
      <c r="L13" s="15">
        <v>42.55323</v>
      </c>
      <c r="M13" s="15">
        <v>157.5368</v>
      </c>
      <c r="N13" s="15">
        <v>44.62518</v>
      </c>
      <c r="O13" s="16">
        <f t="shared" ref="O13:T13" si="11"> ABS(C13-I13)*100/C13</f>
        <v>0.03618032787</v>
      </c>
      <c r="P13" s="17">
        <f t="shared" si="11"/>
        <v>0.1086153846</v>
      </c>
      <c r="Q13" s="17">
        <f t="shared" si="11"/>
        <v>0.2486524823</v>
      </c>
      <c r="R13" s="17">
        <f t="shared" si="11"/>
        <v>0.3437236534</v>
      </c>
      <c r="S13" s="17">
        <f t="shared" si="11"/>
        <v>0.4821225521</v>
      </c>
      <c r="T13" s="17">
        <f t="shared" si="11"/>
        <v>11.56295</v>
      </c>
    </row>
    <row r="14">
      <c r="A14" s="11">
        <v>45839.0</v>
      </c>
      <c r="B14" s="12">
        <v>12.0</v>
      </c>
      <c r="C14" s="13">
        <v>56.0</v>
      </c>
      <c r="D14" s="14">
        <v>130.0</v>
      </c>
      <c r="E14" s="14">
        <v>141.0</v>
      </c>
      <c r="F14" s="13">
        <v>38.1</v>
      </c>
      <c r="G14" s="14">
        <v>158.3</v>
      </c>
      <c r="H14" s="14">
        <v>40.0</v>
      </c>
      <c r="I14" s="15">
        <v>61.10244</v>
      </c>
      <c r="J14" s="15">
        <v>129.8485</v>
      </c>
      <c r="K14" s="15">
        <v>140.6485</v>
      </c>
      <c r="L14" s="15">
        <v>42.54375</v>
      </c>
      <c r="M14" s="15">
        <v>157.5371</v>
      </c>
      <c r="N14" s="15">
        <v>44.62527</v>
      </c>
      <c r="O14" s="16">
        <f t="shared" ref="O14:T14" si="12"> ABS(C14-I14)*100/C14</f>
        <v>9.1115</v>
      </c>
      <c r="P14" s="17">
        <f t="shared" si="12"/>
        <v>0.1165384615</v>
      </c>
      <c r="Q14" s="17">
        <f t="shared" si="12"/>
        <v>0.2492907801</v>
      </c>
      <c r="R14" s="17">
        <f t="shared" si="12"/>
        <v>11.66338583</v>
      </c>
      <c r="S14" s="17">
        <f t="shared" si="12"/>
        <v>0.4819330385</v>
      </c>
      <c r="T14" s="17">
        <f t="shared" si="12"/>
        <v>11.563175</v>
      </c>
    </row>
    <row r="15">
      <c r="A15" s="11">
        <v>45839.0</v>
      </c>
      <c r="B15" s="12">
        <v>13.0</v>
      </c>
      <c r="C15" s="13">
        <v>60.0</v>
      </c>
      <c r="D15" s="14">
        <v>130.0</v>
      </c>
      <c r="E15" s="14">
        <v>141.0</v>
      </c>
      <c r="F15" s="13">
        <v>41.8</v>
      </c>
      <c r="G15" s="14">
        <v>158.3</v>
      </c>
      <c r="H15" s="14">
        <v>40.0</v>
      </c>
      <c r="I15" s="15">
        <v>61.16315</v>
      </c>
      <c r="J15" s="15">
        <v>129.8382</v>
      </c>
      <c r="K15" s="15">
        <v>140.6476</v>
      </c>
      <c r="L15" s="15">
        <v>42.53428</v>
      </c>
      <c r="M15" s="15">
        <v>157.5374</v>
      </c>
      <c r="N15" s="15">
        <v>44.62536</v>
      </c>
      <c r="O15" s="16">
        <f t="shared" ref="O15:T15" si="13"> ABS(C15-I15)*100/C15</f>
        <v>1.938583333</v>
      </c>
      <c r="P15" s="17">
        <f t="shared" si="13"/>
        <v>0.1244615385</v>
      </c>
      <c r="Q15" s="17">
        <f t="shared" si="13"/>
        <v>0.249929078</v>
      </c>
      <c r="R15" s="17">
        <f t="shared" si="13"/>
        <v>1.756650718</v>
      </c>
      <c r="S15" s="17">
        <f t="shared" si="13"/>
        <v>0.481743525</v>
      </c>
      <c r="T15" s="17">
        <f t="shared" si="13"/>
        <v>11.5634</v>
      </c>
    </row>
    <row r="16">
      <c r="A16" s="11">
        <v>45839.0</v>
      </c>
      <c r="B16" s="12">
        <v>14.0</v>
      </c>
      <c r="C16" s="13">
        <v>55.0</v>
      </c>
      <c r="D16" s="14">
        <v>130.0</v>
      </c>
      <c r="E16" s="14">
        <v>141.0</v>
      </c>
      <c r="F16" s="13">
        <v>40.3</v>
      </c>
      <c r="G16" s="14">
        <v>158.3</v>
      </c>
      <c r="H16" s="14">
        <v>40.0</v>
      </c>
      <c r="I16" s="15">
        <v>61.10693</v>
      </c>
      <c r="J16" s="15">
        <v>129.828</v>
      </c>
      <c r="K16" s="15">
        <v>140.6468</v>
      </c>
      <c r="L16" s="15">
        <v>42.5248</v>
      </c>
      <c r="M16" s="15">
        <v>157.5377</v>
      </c>
      <c r="N16" s="15">
        <v>44.62545</v>
      </c>
      <c r="O16" s="16">
        <f t="shared" ref="O16:T16" si="14"> ABS(C16-I16)*100/C16</f>
        <v>11.10350909</v>
      </c>
      <c r="P16" s="17">
        <f t="shared" si="14"/>
        <v>0.1323076923</v>
      </c>
      <c r="Q16" s="17">
        <f t="shared" si="14"/>
        <v>0.2504964539</v>
      </c>
      <c r="R16" s="17">
        <f t="shared" si="14"/>
        <v>5.520595533</v>
      </c>
      <c r="S16" s="17">
        <f t="shared" si="14"/>
        <v>0.4815540114</v>
      </c>
      <c r="T16" s="17">
        <f t="shared" si="14"/>
        <v>11.563625</v>
      </c>
    </row>
    <row r="17">
      <c r="A17" s="11">
        <v>45839.0</v>
      </c>
      <c r="B17" s="12">
        <v>15.0</v>
      </c>
      <c r="C17" s="13">
        <v>62.0</v>
      </c>
      <c r="D17" s="14">
        <v>130.0</v>
      </c>
      <c r="E17" s="14">
        <v>141.0</v>
      </c>
      <c r="F17" s="13">
        <v>43.3</v>
      </c>
      <c r="G17" s="14">
        <v>158.3</v>
      </c>
      <c r="H17" s="14">
        <v>40.0</v>
      </c>
      <c r="I17" s="15">
        <v>61.16319</v>
      </c>
      <c r="J17" s="15">
        <v>129.8177</v>
      </c>
      <c r="K17" s="15">
        <v>140.6459</v>
      </c>
      <c r="L17" s="15">
        <v>42.51532</v>
      </c>
      <c r="M17" s="15">
        <v>157.538</v>
      </c>
      <c r="N17" s="15">
        <v>44.62554</v>
      </c>
      <c r="O17" s="16">
        <f t="shared" ref="O17:T17" si="15"> ABS(C17-I17)*100/C17</f>
        <v>1.349693548</v>
      </c>
      <c r="P17" s="17">
        <f t="shared" si="15"/>
        <v>0.1402307692</v>
      </c>
      <c r="Q17" s="17">
        <f t="shared" si="15"/>
        <v>0.2511347518</v>
      </c>
      <c r="R17" s="17">
        <f t="shared" si="15"/>
        <v>1.812193995</v>
      </c>
      <c r="S17" s="17">
        <f t="shared" si="15"/>
        <v>0.4813644978</v>
      </c>
      <c r="T17" s="17">
        <f t="shared" si="15"/>
        <v>11.56385</v>
      </c>
    </row>
    <row r="18">
      <c r="A18" s="11">
        <v>45839.0</v>
      </c>
      <c r="B18" s="12">
        <v>16.0</v>
      </c>
      <c r="C18" s="13">
        <v>57.0</v>
      </c>
      <c r="D18" s="14">
        <v>130.0</v>
      </c>
      <c r="E18" s="14">
        <v>138.0</v>
      </c>
      <c r="F18" s="13">
        <v>40.7</v>
      </c>
      <c r="G18" s="14">
        <v>158.3</v>
      </c>
      <c r="H18" s="14">
        <v>40.0</v>
      </c>
      <c r="I18" s="15">
        <v>61.23586</v>
      </c>
      <c r="J18" s="15">
        <v>129.8075</v>
      </c>
      <c r="K18" s="15">
        <v>140.645</v>
      </c>
      <c r="L18" s="15">
        <v>42.50584</v>
      </c>
      <c r="M18" s="15">
        <v>157.5384</v>
      </c>
      <c r="N18" s="15">
        <v>44.62563</v>
      </c>
      <c r="O18" s="16">
        <f t="shared" ref="O18:T18" si="16"> ABS(C18-I18)*100/C18</f>
        <v>7.431333333</v>
      </c>
      <c r="P18" s="17">
        <f t="shared" si="16"/>
        <v>0.1480769231</v>
      </c>
      <c r="Q18" s="17">
        <f t="shared" si="16"/>
        <v>1.916666667</v>
      </c>
      <c r="R18" s="17">
        <f t="shared" si="16"/>
        <v>4.436953317</v>
      </c>
      <c r="S18" s="17">
        <f t="shared" si="16"/>
        <v>0.481111813</v>
      </c>
      <c r="T18" s="17">
        <f t="shared" si="16"/>
        <v>11.564075</v>
      </c>
    </row>
    <row r="19">
      <c r="A19" s="11">
        <v>45839.0</v>
      </c>
      <c r="B19" s="12">
        <v>17.0</v>
      </c>
      <c r="C19" s="13">
        <v>55.0</v>
      </c>
      <c r="D19" s="14">
        <v>130.0</v>
      </c>
      <c r="E19" s="14">
        <v>138.0</v>
      </c>
      <c r="F19" s="13">
        <v>38.4</v>
      </c>
      <c r="G19" s="14">
        <v>158.3</v>
      </c>
      <c r="H19" s="14">
        <v>36.0</v>
      </c>
      <c r="I19" s="15">
        <v>61.31996</v>
      </c>
      <c r="J19" s="15">
        <v>129.7972</v>
      </c>
      <c r="K19" s="15">
        <v>140.6441</v>
      </c>
      <c r="L19" s="15">
        <v>42.49636</v>
      </c>
      <c r="M19" s="15">
        <v>157.5387</v>
      </c>
      <c r="N19" s="15">
        <v>44.62572</v>
      </c>
      <c r="O19" s="16">
        <f t="shared" ref="O19:T19" si="17"> ABS(C19-I19)*100/C19</f>
        <v>11.49083636</v>
      </c>
      <c r="P19" s="17">
        <f t="shared" si="17"/>
        <v>0.156</v>
      </c>
      <c r="Q19" s="17">
        <f t="shared" si="17"/>
        <v>1.916014493</v>
      </c>
      <c r="R19" s="17">
        <f t="shared" si="17"/>
        <v>10.66760417</v>
      </c>
      <c r="S19" s="17">
        <f t="shared" si="17"/>
        <v>0.4809222994</v>
      </c>
      <c r="T19" s="17">
        <f t="shared" si="17"/>
        <v>23.96033333</v>
      </c>
    </row>
    <row r="20">
      <c r="A20" s="11">
        <v>45839.0</v>
      </c>
      <c r="B20" s="12">
        <v>18.0</v>
      </c>
      <c r="C20" s="13">
        <v>63.0</v>
      </c>
      <c r="D20" s="14">
        <v>130.0</v>
      </c>
      <c r="E20" s="14">
        <v>138.0</v>
      </c>
      <c r="F20" s="13">
        <v>43.1</v>
      </c>
      <c r="G20" s="14">
        <v>158.3</v>
      </c>
      <c r="H20" s="14">
        <v>36.0</v>
      </c>
      <c r="I20" s="15">
        <v>61.38941</v>
      </c>
      <c r="J20" s="15">
        <v>129.7869</v>
      </c>
      <c r="K20" s="15">
        <v>140.6432</v>
      </c>
      <c r="L20" s="15">
        <v>42.48688</v>
      </c>
      <c r="M20" s="15">
        <v>157.539</v>
      </c>
      <c r="N20" s="15">
        <v>44.62581</v>
      </c>
      <c r="O20" s="16">
        <f t="shared" ref="O20:T20" si="18"> ABS(C20-I20)*100/C20</f>
        <v>2.556492063</v>
      </c>
      <c r="P20" s="17">
        <f t="shared" si="18"/>
        <v>0.1639230769</v>
      </c>
      <c r="Q20" s="17">
        <f t="shared" si="18"/>
        <v>1.915362319</v>
      </c>
      <c r="R20" s="17">
        <f t="shared" si="18"/>
        <v>1.422552204</v>
      </c>
      <c r="S20" s="17">
        <f t="shared" si="18"/>
        <v>0.4807327858</v>
      </c>
      <c r="T20" s="17">
        <f t="shared" si="18"/>
        <v>23.96058333</v>
      </c>
    </row>
    <row r="21">
      <c r="A21" s="11">
        <v>45839.0</v>
      </c>
      <c r="B21" s="12">
        <v>19.0</v>
      </c>
      <c r="C21" s="13">
        <v>62.0</v>
      </c>
      <c r="D21" s="14">
        <v>130.0</v>
      </c>
      <c r="E21" s="14">
        <v>138.0</v>
      </c>
      <c r="F21" s="13">
        <v>44.6</v>
      </c>
      <c r="G21" s="14">
        <v>158.3</v>
      </c>
      <c r="H21" s="14">
        <v>40.0</v>
      </c>
      <c r="I21" s="15">
        <v>61.43091</v>
      </c>
      <c r="J21" s="15">
        <v>129.7767</v>
      </c>
      <c r="K21" s="15">
        <v>140.6423</v>
      </c>
      <c r="L21" s="15">
        <v>42.4774</v>
      </c>
      <c r="M21" s="15">
        <v>157.5393</v>
      </c>
      <c r="N21" s="15">
        <v>44.6259</v>
      </c>
      <c r="O21" s="16">
        <f t="shared" ref="O21:T21" si="19"> ABS(C21-I21)*100/C21</f>
        <v>0.9178870968</v>
      </c>
      <c r="P21" s="17">
        <f t="shared" si="19"/>
        <v>0.1717692308</v>
      </c>
      <c r="Q21" s="17">
        <f t="shared" si="19"/>
        <v>1.914710145</v>
      </c>
      <c r="R21" s="17">
        <f t="shared" si="19"/>
        <v>4.759192825</v>
      </c>
      <c r="S21" s="17">
        <f t="shared" si="19"/>
        <v>0.4805432723</v>
      </c>
      <c r="T21" s="17">
        <f t="shared" si="19"/>
        <v>11.56475</v>
      </c>
    </row>
    <row r="22">
      <c r="A22" s="11">
        <v>45839.0</v>
      </c>
      <c r="B22" s="12">
        <v>20.0</v>
      </c>
      <c r="C22" s="13">
        <v>62.0</v>
      </c>
      <c r="D22" s="14">
        <v>130.0</v>
      </c>
      <c r="E22" s="14">
        <v>138.0</v>
      </c>
      <c r="F22" s="13">
        <v>43.0</v>
      </c>
      <c r="G22" s="14">
        <v>158.3</v>
      </c>
      <c r="H22" s="14">
        <v>40.0</v>
      </c>
      <c r="I22" s="15">
        <v>61.4479</v>
      </c>
      <c r="J22" s="15">
        <v>129.7664</v>
      </c>
      <c r="K22" s="15">
        <v>140.6414</v>
      </c>
      <c r="L22" s="15">
        <v>42.46792</v>
      </c>
      <c r="M22" s="15">
        <v>157.5396</v>
      </c>
      <c r="N22" s="15">
        <v>44.62599</v>
      </c>
      <c r="O22" s="16">
        <f t="shared" ref="O22:T22" si="20"> ABS(C22-I22)*100/C22</f>
        <v>0.890483871</v>
      </c>
      <c r="P22" s="17">
        <f t="shared" si="20"/>
        <v>0.1796923077</v>
      </c>
      <c r="Q22" s="17">
        <f t="shared" si="20"/>
        <v>1.914057971</v>
      </c>
      <c r="R22" s="17">
        <f t="shared" si="20"/>
        <v>1.237395349</v>
      </c>
      <c r="S22" s="17">
        <f t="shared" si="20"/>
        <v>0.4803537587</v>
      </c>
      <c r="T22" s="17">
        <f t="shared" si="20"/>
        <v>11.564975</v>
      </c>
    </row>
    <row r="23">
      <c r="A23" s="11">
        <v>45839.0</v>
      </c>
      <c r="B23" s="12">
        <v>21.0</v>
      </c>
      <c r="C23" s="13">
        <v>55.0</v>
      </c>
      <c r="D23" s="14">
        <v>130.0</v>
      </c>
      <c r="E23" s="14">
        <v>138.0</v>
      </c>
      <c r="F23" s="13">
        <v>38.0</v>
      </c>
      <c r="G23" s="14">
        <v>158.3</v>
      </c>
      <c r="H23" s="14">
        <v>40.0</v>
      </c>
      <c r="I23" s="15">
        <v>61.47978</v>
      </c>
      <c r="J23" s="15">
        <v>129.7562</v>
      </c>
      <c r="K23" s="15">
        <v>140.6405</v>
      </c>
      <c r="L23" s="15">
        <v>42.45844</v>
      </c>
      <c r="M23" s="15">
        <v>157.5399</v>
      </c>
      <c r="N23" s="15">
        <v>44.62608</v>
      </c>
      <c r="O23" s="16">
        <f t="shared" ref="O23:T23" si="21"> ABS(C23-I23)*100/C23</f>
        <v>11.78141818</v>
      </c>
      <c r="P23" s="17">
        <f t="shared" si="21"/>
        <v>0.1875384615</v>
      </c>
      <c r="Q23" s="17">
        <f t="shared" si="21"/>
        <v>1.913405797</v>
      </c>
      <c r="R23" s="17">
        <f t="shared" si="21"/>
        <v>11.73273684</v>
      </c>
      <c r="S23" s="17">
        <f t="shared" si="21"/>
        <v>0.4801642451</v>
      </c>
      <c r="T23" s="17">
        <f t="shared" si="21"/>
        <v>11.5652</v>
      </c>
    </row>
    <row r="24">
      <c r="A24" s="11">
        <v>45839.0</v>
      </c>
      <c r="B24" s="12">
        <v>22.0</v>
      </c>
      <c r="C24" s="13">
        <v>63.0</v>
      </c>
      <c r="D24" s="14">
        <v>130.0</v>
      </c>
      <c r="E24" s="14">
        <v>138.0</v>
      </c>
      <c r="F24" s="13">
        <v>47.2</v>
      </c>
      <c r="G24" s="14">
        <v>158.3</v>
      </c>
      <c r="H24" s="14">
        <v>40.0</v>
      </c>
      <c r="I24" s="15">
        <v>61.51222</v>
      </c>
      <c r="J24" s="15">
        <v>129.7459</v>
      </c>
      <c r="K24" s="15">
        <v>140.6397</v>
      </c>
      <c r="L24" s="15">
        <v>42.44897</v>
      </c>
      <c r="M24" s="15">
        <v>157.5403</v>
      </c>
      <c r="N24" s="15">
        <v>44.62617</v>
      </c>
      <c r="O24" s="16">
        <f t="shared" ref="O24:T24" si="22"> ABS(C24-I24)*100/C24</f>
        <v>2.361555556</v>
      </c>
      <c r="P24" s="17">
        <f t="shared" si="22"/>
        <v>0.1954615385</v>
      </c>
      <c r="Q24" s="17">
        <f t="shared" si="22"/>
        <v>1.912826087</v>
      </c>
      <c r="R24" s="17">
        <f t="shared" si="22"/>
        <v>10.06574153</v>
      </c>
      <c r="S24" s="17">
        <f t="shared" si="22"/>
        <v>0.4799115603</v>
      </c>
      <c r="T24" s="17">
        <f t="shared" si="22"/>
        <v>11.565425</v>
      </c>
    </row>
    <row r="25">
      <c r="A25" s="11">
        <v>45839.0</v>
      </c>
      <c r="B25" s="12">
        <v>23.0</v>
      </c>
      <c r="C25" s="13">
        <v>56.0</v>
      </c>
      <c r="D25" s="14">
        <v>130.0</v>
      </c>
      <c r="E25" s="14">
        <v>138.0</v>
      </c>
      <c r="F25" s="13">
        <v>47.1</v>
      </c>
      <c r="G25" s="14">
        <v>158.3</v>
      </c>
      <c r="H25" s="14">
        <v>40.0</v>
      </c>
      <c r="I25" s="15">
        <v>61.55347</v>
      </c>
      <c r="J25" s="15">
        <v>129.7356</v>
      </c>
      <c r="K25" s="15">
        <v>140.6388</v>
      </c>
      <c r="L25" s="15">
        <v>42.43949</v>
      </c>
      <c r="M25" s="15">
        <v>157.5406</v>
      </c>
      <c r="N25" s="15">
        <v>44.62626</v>
      </c>
      <c r="O25" s="16">
        <f t="shared" ref="O25:T25" si="23"> ABS(C25-I25)*100/C25</f>
        <v>9.916910714</v>
      </c>
      <c r="P25" s="17">
        <f t="shared" si="23"/>
        <v>0.2033846154</v>
      </c>
      <c r="Q25" s="17">
        <f t="shared" si="23"/>
        <v>1.912173913</v>
      </c>
      <c r="R25" s="17">
        <f t="shared" si="23"/>
        <v>9.89492569</v>
      </c>
      <c r="S25" s="17">
        <f t="shared" si="23"/>
        <v>0.4797220467</v>
      </c>
      <c r="T25" s="17">
        <f t="shared" si="23"/>
        <v>11.56565</v>
      </c>
    </row>
    <row r="26">
      <c r="A26" s="11">
        <v>45839.0</v>
      </c>
      <c r="B26" s="12">
        <v>24.0</v>
      </c>
      <c r="C26" s="13">
        <v>64.0</v>
      </c>
      <c r="D26" s="14">
        <v>130.0</v>
      </c>
      <c r="E26" s="14">
        <v>138.0</v>
      </c>
      <c r="F26" s="13">
        <v>47.2</v>
      </c>
      <c r="G26" s="14">
        <v>158.3</v>
      </c>
      <c r="H26" s="14">
        <v>40.0</v>
      </c>
      <c r="I26" s="15">
        <v>61.64185</v>
      </c>
      <c r="J26" s="15">
        <v>129.7254</v>
      </c>
      <c r="K26" s="15">
        <v>140.6379</v>
      </c>
      <c r="L26" s="15">
        <v>42.43001</v>
      </c>
      <c r="M26" s="15">
        <v>157.5409</v>
      </c>
      <c r="N26" s="15">
        <v>44.62635</v>
      </c>
      <c r="O26" s="16">
        <f t="shared" ref="O26:T26" si="24"> ABS(C26-I26)*100/C26</f>
        <v>3.684609375</v>
      </c>
      <c r="P26" s="17">
        <f t="shared" si="24"/>
        <v>0.2112307692</v>
      </c>
      <c r="Q26" s="17">
        <f t="shared" si="24"/>
        <v>1.911521739</v>
      </c>
      <c r="R26" s="17">
        <f t="shared" si="24"/>
        <v>10.10591102</v>
      </c>
      <c r="S26" s="17">
        <f t="shared" si="24"/>
        <v>0.4795325332</v>
      </c>
      <c r="T26" s="17">
        <f t="shared" si="24"/>
        <v>11.565875</v>
      </c>
    </row>
    <row r="27">
      <c r="N27" s="18" t="s">
        <v>23</v>
      </c>
      <c r="O27" s="19">
        <f t="shared" ref="O27:T27" si="25">AVERAGE(O3:O26)</f>
        <v>4.598492627</v>
      </c>
      <c r="P27" s="19">
        <f t="shared" si="25"/>
        <v>0.1204903846</v>
      </c>
      <c r="Q27" s="19">
        <f t="shared" si="25"/>
        <v>0.8719977002</v>
      </c>
      <c r="R27" s="19">
        <f t="shared" si="25"/>
        <v>6.344125558</v>
      </c>
      <c r="S27" s="19">
        <f t="shared" si="25"/>
        <v>0.4818382817</v>
      </c>
      <c r="T27" s="19">
        <f t="shared" si="25"/>
        <v>9.63823327</v>
      </c>
    </row>
    <row r="28" ht="12.0" customHeight="1"/>
    <row r="30">
      <c r="A30" s="1"/>
      <c r="B30" s="1"/>
      <c r="C30" s="2" t="s">
        <v>0</v>
      </c>
      <c r="D30" s="3"/>
      <c r="E30" s="3"/>
      <c r="F30" s="3"/>
      <c r="G30" s="3"/>
      <c r="H30" s="3"/>
      <c r="I30" s="3"/>
      <c r="J30" s="4"/>
      <c r="K30" s="5" t="s">
        <v>1</v>
      </c>
      <c r="L30" s="3"/>
      <c r="M30" s="3"/>
      <c r="N30" s="3"/>
      <c r="O30" s="3"/>
      <c r="P30" s="3"/>
      <c r="Q30" s="3"/>
      <c r="R30" s="4"/>
      <c r="S30" s="6" t="s">
        <v>2</v>
      </c>
      <c r="T30" s="3"/>
      <c r="U30" s="3"/>
      <c r="V30" s="3"/>
      <c r="W30" s="3"/>
      <c r="X30" s="3"/>
      <c r="Y30" s="3"/>
      <c r="Z30" s="4"/>
    </row>
    <row r="31">
      <c r="A31" s="7" t="s">
        <v>3</v>
      </c>
      <c r="B31" s="7" t="s">
        <v>4</v>
      </c>
      <c r="C31" s="8" t="s">
        <v>5</v>
      </c>
      <c r="D31" s="8" t="s">
        <v>6</v>
      </c>
      <c r="E31" s="8" t="s">
        <v>7</v>
      </c>
      <c r="F31" s="8" t="s">
        <v>24</v>
      </c>
      <c r="G31" s="8" t="s">
        <v>25</v>
      </c>
      <c r="H31" s="8" t="s">
        <v>9</v>
      </c>
      <c r="I31" s="8" t="s">
        <v>26</v>
      </c>
      <c r="J31" s="8" t="s">
        <v>27</v>
      </c>
      <c r="K31" s="20" t="s">
        <v>17</v>
      </c>
      <c r="L31" s="20" t="s">
        <v>18</v>
      </c>
      <c r="M31" s="20" t="s">
        <v>19</v>
      </c>
      <c r="N31" s="20" t="s">
        <v>28</v>
      </c>
      <c r="O31" s="20" t="s">
        <v>29</v>
      </c>
      <c r="P31" s="20" t="s">
        <v>21</v>
      </c>
      <c r="Q31" s="20" t="s">
        <v>30</v>
      </c>
      <c r="R31" s="20" t="s">
        <v>31</v>
      </c>
      <c r="S31" s="10" t="s">
        <v>17</v>
      </c>
      <c r="T31" s="10" t="s">
        <v>18</v>
      </c>
      <c r="U31" s="10" t="s">
        <v>19</v>
      </c>
      <c r="V31" s="10" t="s">
        <v>20</v>
      </c>
      <c r="W31" s="10" t="s">
        <v>20</v>
      </c>
      <c r="X31" s="10" t="s">
        <v>21</v>
      </c>
      <c r="Y31" s="10" t="s">
        <v>22</v>
      </c>
      <c r="Z31" s="10" t="s">
        <v>22</v>
      </c>
    </row>
    <row r="32">
      <c r="A32" s="11">
        <v>45839.0</v>
      </c>
      <c r="B32" s="12">
        <v>1.0</v>
      </c>
      <c r="C32" s="13">
        <v>60.0</v>
      </c>
      <c r="D32" s="14">
        <v>130.0</v>
      </c>
      <c r="E32" s="14">
        <v>141.0</v>
      </c>
      <c r="F32" s="13">
        <v>46.0</v>
      </c>
      <c r="G32" s="14">
        <v>158.3</v>
      </c>
      <c r="H32" s="14">
        <v>158.3</v>
      </c>
      <c r="I32" s="14">
        <v>44.0</v>
      </c>
      <c r="J32" s="14">
        <v>44.0</v>
      </c>
      <c r="K32" s="21">
        <v>60.55762801129151</v>
      </c>
      <c r="L32" s="21">
        <v>129.9801113839086</v>
      </c>
      <c r="M32" s="21">
        <v>140.9050461215846</v>
      </c>
      <c r="N32" s="21">
        <v>21.30553536078334</v>
      </c>
      <c r="O32" s="21">
        <v>21.30553536078334</v>
      </c>
      <c r="P32" s="21">
        <v>156.7114475371094</v>
      </c>
      <c r="Q32" s="21">
        <v>22.17378034359028</v>
      </c>
      <c r="R32" s="21">
        <v>22.17378034359028</v>
      </c>
      <c r="S32" s="22">
        <f t="shared" ref="S32:Z32" si="26">ABS(C32-K32)*100/C32</f>
        <v>0.9293800188</v>
      </c>
      <c r="T32" s="22">
        <f t="shared" si="26"/>
        <v>0.01529893545</v>
      </c>
      <c r="U32" s="22">
        <f t="shared" si="26"/>
        <v>0.06734317618</v>
      </c>
      <c r="V32" s="22">
        <f t="shared" si="26"/>
        <v>53.68361878</v>
      </c>
      <c r="W32" s="22">
        <f t="shared" si="26"/>
        <v>86.54103894</v>
      </c>
      <c r="X32" s="22">
        <f t="shared" si="26"/>
        <v>1.003507557</v>
      </c>
      <c r="Y32" s="22">
        <f t="shared" si="26"/>
        <v>49.60504467</v>
      </c>
      <c r="Z32" s="22">
        <f t="shared" si="26"/>
        <v>49.60504467</v>
      </c>
    </row>
    <row r="33">
      <c r="A33" s="11">
        <v>45839.0</v>
      </c>
      <c r="B33" s="12">
        <v>2.0</v>
      </c>
      <c r="C33" s="13">
        <v>63.0</v>
      </c>
      <c r="D33" s="14">
        <v>130.0</v>
      </c>
      <c r="E33" s="14">
        <v>141.0</v>
      </c>
      <c r="F33" s="13">
        <v>45.8</v>
      </c>
      <c r="G33" s="14">
        <v>158.3</v>
      </c>
      <c r="H33" s="14">
        <v>158.3</v>
      </c>
      <c r="I33" s="14">
        <v>44.0</v>
      </c>
      <c r="J33" s="14">
        <v>44.0</v>
      </c>
      <c r="K33" s="21">
        <v>61.15017162206696</v>
      </c>
      <c r="L33" s="21">
        <v>129.9703768947503</v>
      </c>
      <c r="M33" s="21">
        <v>141.0394325322249</v>
      </c>
      <c r="N33" s="21">
        <v>21.40144349496364</v>
      </c>
      <c r="O33" s="21">
        <v>21.40144349496364</v>
      </c>
      <c r="P33" s="21">
        <v>155.8933035000196</v>
      </c>
      <c r="Q33" s="21">
        <v>22.1030386473534</v>
      </c>
      <c r="R33" s="21">
        <v>22.1030386473534</v>
      </c>
      <c r="S33" s="22">
        <f t="shared" ref="S33:Z33" si="27">ABS(C33-K33)*100/C33</f>
        <v>2.936235521</v>
      </c>
      <c r="T33" s="22">
        <f t="shared" si="27"/>
        <v>0.02278700404</v>
      </c>
      <c r="U33" s="22">
        <f t="shared" si="27"/>
        <v>0.02796633491</v>
      </c>
      <c r="V33" s="22">
        <f t="shared" si="27"/>
        <v>53.27195743</v>
      </c>
      <c r="W33" s="22">
        <f t="shared" si="27"/>
        <v>86.48045262</v>
      </c>
      <c r="X33" s="22">
        <f t="shared" si="27"/>
        <v>1.520338913</v>
      </c>
      <c r="Y33" s="22">
        <f t="shared" si="27"/>
        <v>49.76582126</v>
      </c>
      <c r="Z33" s="22">
        <f t="shared" si="27"/>
        <v>49.76582126</v>
      </c>
    </row>
    <row r="34">
      <c r="A34" s="11">
        <v>45839.0</v>
      </c>
      <c r="B34" s="12">
        <v>3.0</v>
      </c>
      <c r="C34" s="13">
        <v>64.0</v>
      </c>
      <c r="D34" s="14">
        <v>130.0</v>
      </c>
      <c r="E34" s="14">
        <v>141.0</v>
      </c>
      <c r="F34" s="13">
        <v>46.2</v>
      </c>
      <c r="G34" s="14">
        <v>158.3</v>
      </c>
      <c r="H34" s="14">
        <v>158.3</v>
      </c>
      <c r="I34" s="14">
        <v>44.0</v>
      </c>
      <c r="J34" s="14">
        <v>44.0</v>
      </c>
      <c r="K34" s="21">
        <v>60.96910126213582</v>
      </c>
      <c r="L34" s="21">
        <v>130.0481630831002</v>
      </c>
      <c r="M34" s="21">
        <v>141.250336269276</v>
      </c>
      <c r="N34" s="21">
        <v>21.52210417400539</v>
      </c>
      <c r="O34" s="21">
        <v>21.52210417400539</v>
      </c>
      <c r="P34" s="21">
        <v>155.3831381792205</v>
      </c>
      <c r="Q34" s="21">
        <v>22.11858020257183</v>
      </c>
      <c r="R34" s="21">
        <v>22.11858020257183</v>
      </c>
      <c r="S34" s="22">
        <f t="shared" ref="S34:Z34" si="28">ABS(C34-K34)*100/C34</f>
        <v>4.735779278</v>
      </c>
      <c r="T34" s="22">
        <f t="shared" si="28"/>
        <v>0.03704852546</v>
      </c>
      <c r="U34" s="22">
        <f t="shared" si="28"/>
        <v>0.1775434534</v>
      </c>
      <c r="V34" s="22">
        <f t="shared" si="28"/>
        <v>53.41535893</v>
      </c>
      <c r="W34" s="22">
        <f t="shared" si="28"/>
        <v>86.40422983</v>
      </c>
      <c r="X34" s="22">
        <f t="shared" si="28"/>
        <v>1.842616438</v>
      </c>
      <c r="Y34" s="22">
        <f t="shared" si="28"/>
        <v>49.73049954</v>
      </c>
      <c r="Z34" s="22">
        <f t="shared" si="28"/>
        <v>49.73049954</v>
      </c>
    </row>
    <row r="35">
      <c r="A35" s="11">
        <v>45839.0</v>
      </c>
      <c r="B35" s="12">
        <v>4.0</v>
      </c>
      <c r="C35" s="13">
        <v>63.0</v>
      </c>
      <c r="D35" s="14">
        <v>130.0</v>
      </c>
      <c r="E35" s="14">
        <v>141.0</v>
      </c>
      <c r="F35" s="13">
        <v>45.8</v>
      </c>
      <c r="G35" s="14">
        <v>158.3</v>
      </c>
      <c r="H35" s="14">
        <v>158.3</v>
      </c>
      <c r="I35" s="14">
        <v>44.0</v>
      </c>
      <c r="J35" s="14">
        <v>44.0</v>
      </c>
      <c r="K35" s="21">
        <v>60.74568672989066</v>
      </c>
      <c r="L35" s="21">
        <v>130.1440636406161</v>
      </c>
      <c r="M35" s="21">
        <v>141.4270940043519</v>
      </c>
      <c r="N35" s="21">
        <v>21.59053648239148</v>
      </c>
      <c r="O35" s="21">
        <v>21.59053648239148</v>
      </c>
      <c r="P35" s="21">
        <v>154.9645052701767</v>
      </c>
      <c r="Q35" s="21">
        <v>22.12499322757381</v>
      </c>
      <c r="R35" s="21">
        <v>22.12499322757381</v>
      </c>
      <c r="S35" s="22">
        <f t="shared" ref="S35:Z35" si="29">ABS(C35-K35)*100/C35</f>
        <v>3.578275032</v>
      </c>
      <c r="T35" s="22">
        <f t="shared" si="29"/>
        <v>0.1108181851</v>
      </c>
      <c r="U35" s="22">
        <f t="shared" si="29"/>
        <v>0.3029035492</v>
      </c>
      <c r="V35" s="22">
        <f t="shared" si="29"/>
        <v>52.85909065</v>
      </c>
      <c r="W35" s="22">
        <f t="shared" si="29"/>
        <v>86.36100033</v>
      </c>
      <c r="X35" s="22">
        <f t="shared" si="29"/>
        <v>2.107071844</v>
      </c>
      <c r="Y35" s="22">
        <f t="shared" si="29"/>
        <v>49.71592448</v>
      </c>
      <c r="Z35" s="22">
        <f t="shared" si="29"/>
        <v>49.71592448</v>
      </c>
    </row>
    <row r="36">
      <c r="A36" s="11">
        <v>45839.0</v>
      </c>
      <c r="B36" s="12">
        <v>5.0</v>
      </c>
      <c r="C36" s="13">
        <v>64.0</v>
      </c>
      <c r="D36" s="14">
        <v>130.0</v>
      </c>
      <c r="E36" s="14">
        <v>141.0</v>
      </c>
      <c r="F36" s="13">
        <v>45.8</v>
      </c>
      <c r="G36" s="14">
        <v>158.3</v>
      </c>
      <c r="H36" s="14">
        <v>158.3</v>
      </c>
      <c r="I36" s="14">
        <v>44.0</v>
      </c>
      <c r="J36" s="14">
        <v>44.0</v>
      </c>
      <c r="K36" s="21">
        <v>60.13822986259176</v>
      </c>
      <c r="L36" s="21">
        <v>130.0985200161976</v>
      </c>
      <c r="M36" s="21">
        <v>141.4844895821499</v>
      </c>
      <c r="N36" s="21">
        <v>21.66488265884689</v>
      </c>
      <c r="O36" s="21">
        <v>21.66488265884689</v>
      </c>
      <c r="P36" s="21">
        <v>154.463624642052</v>
      </c>
      <c r="Q36" s="21">
        <v>22.1176462190559</v>
      </c>
      <c r="R36" s="21">
        <v>22.1176462190559</v>
      </c>
      <c r="S36" s="22">
        <f t="shared" ref="S36:Z36" si="30">ABS(C36-K36)*100/C36</f>
        <v>6.03401584</v>
      </c>
      <c r="T36" s="22">
        <f t="shared" si="30"/>
        <v>0.07578462784</v>
      </c>
      <c r="U36" s="22">
        <f t="shared" si="30"/>
        <v>0.3436096327</v>
      </c>
      <c r="V36" s="22">
        <f t="shared" si="30"/>
        <v>52.69676275</v>
      </c>
      <c r="W36" s="22">
        <f t="shared" si="30"/>
        <v>86.31403496</v>
      </c>
      <c r="X36" s="22">
        <f t="shared" si="30"/>
        <v>2.423484117</v>
      </c>
      <c r="Y36" s="22">
        <f t="shared" si="30"/>
        <v>49.73262223</v>
      </c>
      <c r="Z36" s="22">
        <f t="shared" si="30"/>
        <v>49.73262223</v>
      </c>
    </row>
    <row r="37">
      <c r="A37" s="11">
        <v>45839.0</v>
      </c>
      <c r="B37" s="12">
        <v>6.0</v>
      </c>
      <c r="C37" s="13">
        <v>61.0</v>
      </c>
      <c r="D37" s="14">
        <v>130.0</v>
      </c>
      <c r="E37" s="14">
        <v>141.0</v>
      </c>
      <c r="F37" s="13">
        <v>45.7</v>
      </c>
      <c r="G37" s="14">
        <v>158.3</v>
      </c>
      <c r="H37" s="14">
        <v>158.3</v>
      </c>
      <c r="I37" s="14">
        <v>44.0</v>
      </c>
      <c r="J37" s="14">
        <v>44.0</v>
      </c>
      <c r="K37" s="21">
        <v>59.61593674068953</v>
      </c>
      <c r="L37" s="21">
        <v>130.1063836597097</v>
      </c>
      <c r="M37" s="21">
        <v>141.5882735527176</v>
      </c>
      <c r="N37" s="21">
        <v>21.72518830615152</v>
      </c>
      <c r="O37" s="21">
        <v>21.72518830615152</v>
      </c>
      <c r="P37" s="21">
        <v>154.2341188941109</v>
      </c>
      <c r="Q37" s="21">
        <v>22.15757318361637</v>
      </c>
      <c r="R37" s="21">
        <v>22.15757318361637</v>
      </c>
      <c r="S37" s="22">
        <f t="shared" ref="S37:Z37" si="31">ABS(C37-K37)*100/C37</f>
        <v>2.268956163</v>
      </c>
      <c r="T37" s="22">
        <f t="shared" si="31"/>
        <v>0.08183358439</v>
      </c>
      <c r="U37" s="22">
        <f t="shared" si="31"/>
        <v>0.4172152856</v>
      </c>
      <c r="V37" s="22">
        <f t="shared" si="31"/>
        <v>52.46129473</v>
      </c>
      <c r="W37" s="22">
        <f t="shared" si="31"/>
        <v>86.27593916</v>
      </c>
      <c r="X37" s="22">
        <f t="shared" si="31"/>
        <v>2.568465639</v>
      </c>
      <c r="Y37" s="22">
        <f t="shared" si="31"/>
        <v>49.64187913</v>
      </c>
      <c r="Z37" s="22">
        <f t="shared" si="31"/>
        <v>49.64187913</v>
      </c>
    </row>
    <row r="38">
      <c r="A38" s="11">
        <v>45839.0</v>
      </c>
      <c r="B38" s="12">
        <v>7.0</v>
      </c>
      <c r="C38" s="13">
        <v>59.0</v>
      </c>
      <c r="D38" s="14">
        <v>130.0</v>
      </c>
      <c r="E38" s="14">
        <v>141.0</v>
      </c>
      <c r="F38" s="13">
        <v>46.4</v>
      </c>
      <c r="G38" s="14">
        <v>158.3</v>
      </c>
      <c r="H38" s="14">
        <v>158.3</v>
      </c>
      <c r="I38" s="14">
        <v>44.0</v>
      </c>
      <c r="J38" s="14">
        <v>44.0</v>
      </c>
      <c r="K38" s="21">
        <v>59.30017302239747</v>
      </c>
      <c r="L38" s="21">
        <v>130.0798677513317</v>
      </c>
      <c r="M38" s="21">
        <v>141.6689200963057</v>
      </c>
      <c r="N38" s="21">
        <v>21.74115361896554</v>
      </c>
      <c r="O38" s="21">
        <v>21.74115361896554</v>
      </c>
      <c r="P38" s="21">
        <v>154.0449451543793</v>
      </c>
      <c r="Q38" s="21">
        <v>22.19429428531349</v>
      </c>
      <c r="R38" s="21">
        <v>22.19429428531349</v>
      </c>
      <c r="S38" s="22">
        <f t="shared" ref="S38:Z38" si="32">ABS(C38-K38)*100/C38</f>
        <v>0.5087678346</v>
      </c>
      <c r="T38" s="22">
        <f t="shared" si="32"/>
        <v>0.06143673179</v>
      </c>
      <c r="U38" s="22">
        <f t="shared" si="32"/>
        <v>0.4744114158</v>
      </c>
      <c r="V38" s="22">
        <f t="shared" si="32"/>
        <v>53.14406548</v>
      </c>
      <c r="W38" s="22">
        <f t="shared" si="32"/>
        <v>86.26585368</v>
      </c>
      <c r="X38" s="22">
        <f t="shared" si="32"/>
        <v>2.687968949</v>
      </c>
      <c r="Y38" s="22">
        <f t="shared" si="32"/>
        <v>49.55842208</v>
      </c>
      <c r="Z38" s="22">
        <f t="shared" si="32"/>
        <v>49.55842208</v>
      </c>
    </row>
    <row r="39">
      <c r="A39" s="11">
        <v>45839.0</v>
      </c>
      <c r="B39" s="12">
        <v>8.0</v>
      </c>
      <c r="C39" s="13">
        <v>58.0</v>
      </c>
      <c r="D39" s="14">
        <v>130.0</v>
      </c>
      <c r="E39" s="14">
        <v>141.0</v>
      </c>
      <c r="F39" s="13">
        <v>45.9</v>
      </c>
      <c r="G39" s="14">
        <v>158.3</v>
      </c>
      <c r="H39" s="14">
        <v>158.3</v>
      </c>
      <c r="I39" s="14">
        <v>40.0</v>
      </c>
      <c r="J39" s="14">
        <v>40.0</v>
      </c>
      <c r="K39" s="21">
        <v>58.84142297761912</v>
      </c>
      <c r="L39" s="21">
        <v>130.0732387863818</v>
      </c>
      <c r="M39" s="21">
        <v>94.53071190523596</v>
      </c>
      <c r="N39" s="21">
        <v>21.77435286892437</v>
      </c>
      <c r="O39" s="21">
        <v>21.77435286892437</v>
      </c>
      <c r="P39" s="21">
        <v>153.7472315701899</v>
      </c>
      <c r="Q39" s="21">
        <v>22.20720723947544</v>
      </c>
      <c r="R39" s="21">
        <v>22.20720723947544</v>
      </c>
      <c r="S39" s="22">
        <f t="shared" ref="S39:Z39" si="33">ABS(C39-K39)*100/C39</f>
        <v>1.450729272</v>
      </c>
      <c r="T39" s="22">
        <f t="shared" si="33"/>
        <v>0.05633752799</v>
      </c>
      <c r="U39" s="22">
        <f t="shared" si="33"/>
        <v>32.95694191</v>
      </c>
      <c r="V39" s="22">
        <f t="shared" si="33"/>
        <v>52.56132273</v>
      </c>
      <c r="W39" s="22">
        <f t="shared" si="33"/>
        <v>86.24488132</v>
      </c>
      <c r="X39" s="22">
        <f t="shared" si="33"/>
        <v>2.876038174</v>
      </c>
      <c r="Y39" s="22">
        <f t="shared" si="33"/>
        <v>44.4819819</v>
      </c>
      <c r="Z39" s="22">
        <f t="shared" si="33"/>
        <v>44.4819819</v>
      </c>
    </row>
    <row r="40">
      <c r="A40" s="11">
        <v>45839.0</v>
      </c>
      <c r="B40" s="12">
        <v>9.0</v>
      </c>
      <c r="C40" s="13">
        <v>62.0</v>
      </c>
      <c r="D40" s="14">
        <v>130.0</v>
      </c>
      <c r="E40" s="14">
        <v>141.0</v>
      </c>
      <c r="F40" s="13">
        <v>42.9</v>
      </c>
      <c r="G40" s="14">
        <v>158.3</v>
      </c>
      <c r="H40" s="14">
        <v>158.3</v>
      </c>
      <c r="I40" s="14">
        <v>40.0</v>
      </c>
      <c r="J40" s="14">
        <v>40.0</v>
      </c>
      <c r="K40" s="21">
        <v>58.46106107910265</v>
      </c>
      <c r="L40" s="21">
        <v>130.0491415315169</v>
      </c>
      <c r="M40" s="21">
        <v>141.981942620387</v>
      </c>
      <c r="N40" s="21">
        <v>21.90475936067019</v>
      </c>
      <c r="O40" s="21">
        <v>21.90475936067019</v>
      </c>
      <c r="P40" s="21">
        <v>153.4360489875918</v>
      </c>
      <c r="Q40" s="21">
        <v>22.18921902724917</v>
      </c>
      <c r="R40" s="21">
        <v>22.18921902724917</v>
      </c>
      <c r="S40" s="22">
        <f t="shared" ref="S40:Z40" si="34">ABS(C40-K40)*100/C40</f>
        <v>5.707966001</v>
      </c>
      <c r="T40" s="22">
        <f t="shared" si="34"/>
        <v>0.03780117809</v>
      </c>
      <c r="U40" s="22">
        <f t="shared" si="34"/>
        <v>0.6964132059</v>
      </c>
      <c r="V40" s="22">
        <f t="shared" si="34"/>
        <v>48.93995487</v>
      </c>
      <c r="W40" s="22">
        <f t="shared" si="34"/>
        <v>86.16250198</v>
      </c>
      <c r="X40" s="22">
        <f t="shared" si="34"/>
        <v>3.072615927</v>
      </c>
      <c r="Y40" s="22">
        <f t="shared" si="34"/>
        <v>44.52695243</v>
      </c>
      <c r="Z40" s="22">
        <f t="shared" si="34"/>
        <v>44.52695243</v>
      </c>
    </row>
    <row r="41">
      <c r="A41" s="11">
        <v>45839.0</v>
      </c>
      <c r="B41" s="12">
        <v>10.0</v>
      </c>
      <c r="C41" s="13">
        <v>57.0</v>
      </c>
      <c r="D41" s="14">
        <v>130.0</v>
      </c>
      <c r="E41" s="14">
        <v>141.0</v>
      </c>
      <c r="F41" s="13">
        <v>39.4</v>
      </c>
      <c r="G41" s="14">
        <v>158.3</v>
      </c>
      <c r="H41" s="14">
        <v>158.3</v>
      </c>
      <c r="I41" s="14">
        <v>40.0</v>
      </c>
      <c r="J41" s="14">
        <v>40.0</v>
      </c>
      <c r="K41" s="21">
        <v>58.13876671222753</v>
      </c>
      <c r="L41" s="21">
        <v>130.0358428237263</v>
      </c>
      <c r="M41" s="21">
        <v>142.1721044339693</v>
      </c>
      <c r="N41" s="21">
        <v>22.00053452535042</v>
      </c>
      <c r="O41" s="21">
        <v>22.00053452535042</v>
      </c>
      <c r="P41" s="21">
        <v>153.2116363354368</v>
      </c>
      <c r="Q41" s="21">
        <v>22.19079836794866</v>
      </c>
      <c r="R41" s="21">
        <v>22.19079836794866</v>
      </c>
      <c r="S41" s="22">
        <f t="shared" ref="S41:Z41" si="35">ABS(C41-K41)*100/C41</f>
        <v>1.997836337</v>
      </c>
      <c r="T41" s="22">
        <f t="shared" si="35"/>
        <v>0.02757140287</v>
      </c>
      <c r="U41" s="22">
        <f t="shared" si="35"/>
        <v>0.8312797404</v>
      </c>
      <c r="V41" s="22">
        <f t="shared" si="35"/>
        <v>44.16107988</v>
      </c>
      <c r="W41" s="22">
        <f t="shared" si="35"/>
        <v>86.10199967</v>
      </c>
      <c r="X41" s="22">
        <f t="shared" si="35"/>
        <v>3.214380079</v>
      </c>
      <c r="Y41" s="22">
        <f t="shared" si="35"/>
        <v>44.52300408</v>
      </c>
      <c r="Z41" s="22">
        <f t="shared" si="35"/>
        <v>44.52300408</v>
      </c>
    </row>
    <row r="42">
      <c r="A42" s="11">
        <v>45839.0</v>
      </c>
      <c r="B42" s="12">
        <v>11.0</v>
      </c>
      <c r="C42" s="13">
        <v>61.0</v>
      </c>
      <c r="D42" s="14">
        <v>130.0</v>
      </c>
      <c r="E42" s="14">
        <v>141.0</v>
      </c>
      <c r="F42" s="13">
        <v>42.7</v>
      </c>
      <c r="G42" s="14">
        <v>158.3</v>
      </c>
      <c r="H42" s="14">
        <v>158.3</v>
      </c>
      <c r="I42" s="14">
        <v>40.0</v>
      </c>
      <c r="J42" s="14">
        <v>40.0</v>
      </c>
      <c r="K42" s="21">
        <v>57.87311746843896</v>
      </c>
      <c r="L42" s="21">
        <v>130.0069490178738</v>
      </c>
      <c r="M42" s="21">
        <v>142.3525208631487</v>
      </c>
      <c r="N42" s="21">
        <v>22.12331669773008</v>
      </c>
      <c r="O42" s="21">
        <v>22.12331669773008</v>
      </c>
      <c r="P42" s="21">
        <v>152.9652710347586</v>
      </c>
      <c r="Q42" s="21">
        <v>22.19471845887759</v>
      </c>
      <c r="R42" s="21">
        <v>22.19471845887759</v>
      </c>
      <c r="S42" s="22">
        <f t="shared" ref="S42:Z42" si="36">ABS(C42-K42)*100/C42</f>
        <v>5.126036937</v>
      </c>
      <c r="T42" s="22">
        <f t="shared" si="36"/>
        <v>0.005345398364</v>
      </c>
      <c r="U42" s="22">
        <f t="shared" si="36"/>
        <v>0.9592346547</v>
      </c>
      <c r="V42" s="22">
        <f t="shared" si="36"/>
        <v>48.18895387</v>
      </c>
      <c r="W42" s="22">
        <f t="shared" si="36"/>
        <v>86.0244367</v>
      </c>
      <c r="X42" s="22">
        <f t="shared" si="36"/>
        <v>3.370011981</v>
      </c>
      <c r="Y42" s="22">
        <f t="shared" si="36"/>
        <v>44.51320385</v>
      </c>
      <c r="Z42" s="22">
        <f t="shared" si="36"/>
        <v>44.51320385</v>
      </c>
    </row>
    <row r="43">
      <c r="A43" s="11">
        <v>45839.0</v>
      </c>
      <c r="B43" s="12">
        <v>12.0</v>
      </c>
      <c r="C43" s="13">
        <v>56.0</v>
      </c>
      <c r="D43" s="14">
        <v>130.0</v>
      </c>
      <c r="E43" s="14">
        <v>141.0</v>
      </c>
      <c r="F43" s="13">
        <v>38.1</v>
      </c>
      <c r="G43" s="14">
        <v>158.3</v>
      </c>
      <c r="H43" s="14">
        <v>158.3</v>
      </c>
      <c r="I43" s="14">
        <v>40.0</v>
      </c>
      <c r="J43" s="14">
        <v>40.0</v>
      </c>
      <c r="K43" s="21">
        <v>57.62362882954245</v>
      </c>
      <c r="L43" s="21">
        <v>129.9927401088933</v>
      </c>
      <c r="M43" s="21">
        <v>95.01901234184709</v>
      </c>
      <c r="N43" s="21">
        <v>22.24297578506494</v>
      </c>
      <c r="O43" s="21">
        <v>22.24297578506494</v>
      </c>
      <c r="P43" s="21">
        <v>152.7875719802021</v>
      </c>
      <c r="Q43" s="21">
        <v>22.20483519727951</v>
      </c>
      <c r="R43" s="21">
        <v>22.20483519727951</v>
      </c>
      <c r="S43" s="22">
        <f t="shared" ref="S43:Z43" si="37">ABS(C43-K43)*100/C43</f>
        <v>2.899337196</v>
      </c>
      <c r="T43" s="22">
        <f t="shared" si="37"/>
        <v>0.005584531621</v>
      </c>
      <c r="U43" s="22">
        <f t="shared" si="37"/>
        <v>32.61062954</v>
      </c>
      <c r="V43" s="22">
        <f t="shared" si="37"/>
        <v>41.61948613</v>
      </c>
      <c r="W43" s="22">
        <f t="shared" si="37"/>
        <v>85.94884663</v>
      </c>
      <c r="X43" s="22">
        <f t="shared" si="37"/>
        <v>3.482266595</v>
      </c>
      <c r="Y43" s="22">
        <f t="shared" si="37"/>
        <v>44.48791201</v>
      </c>
      <c r="Z43" s="22">
        <f t="shared" si="37"/>
        <v>44.48791201</v>
      </c>
    </row>
    <row r="44">
      <c r="A44" s="11">
        <v>45839.0</v>
      </c>
      <c r="B44" s="12">
        <v>13.0</v>
      </c>
      <c r="C44" s="13">
        <v>60.0</v>
      </c>
      <c r="D44" s="14">
        <v>130.0</v>
      </c>
      <c r="E44" s="14">
        <v>141.0</v>
      </c>
      <c r="F44" s="13">
        <v>41.8</v>
      </c>
      <c r="G44" s="14">
        <v>158.3</v>
      </c>
      <c r="H44" s="14">
        <v>158.3</v>
      </c>
      <c r="I44" s="14">
        <v>40.0</v>
      </c>
      <c r="J44" s="14">
        <v>40.0</v>
      </c>
      <c r="K44" s="21">
        <v>57.54339109906417</v>
      </c>
      <c r="L44" s="21">
        <v>129.9780226338528</v>
      </c>
      <c r="M44" s="21">
        <v>95.13264216951237</v>
      </c>
      <c r="N44" s="21">
        <v>22.44431906790685</v>
      </c>
      <c r="O44" s="21">
        <v>22.44431906790685</v>
      </c>
      <c r="P44" s="21">
        <v>152.6264100252646</v>
      </c>
      <c r="Q44" s="21">
        <v>22.2244049646591</v>
      </c>
      <c r="R44" s="21">
        <v>22.2244049646591</v>
      </c>
      <c r="S44" s="22">
        <f t="shared" ref="S44:Z44" si="38">ABS(C44-K44)*100/C44</f>
        <v>4.094348168</v>
      </c>
      <c r="T44" s="22">
        <f t="shared" si="38"/>
        <v>0.01690566627</v>
      </c>
      <c r="U44" s="22">
        <f t="shared" si="38"/>
        <v>32.53004101</v>
      </c>
      <c r="V44" s="22">
        <f t="shared" si="38"/>
        <v>46.30545678</v>
      </c>
      <c r="W44" s="22">
        <f t="shared" si="38"/>
        <v>85.82165567</v>
      </c>
      <c r="X44" s="22">
        <f t="shared" si="38"/>
        <v>3.584074526</v>
      </c>
      <c r="Y44" s="22">
        <f t="shared" si="38"/>
        <v>44.43898759</v>
      </c>
      <c r="Z44" s="22">
        <f t="shared" si="38"/>
        <v>44.43898759</v>
      </c>
    </row>
    <row r="45">
      <c r="A45" s="11">
        <v>45839.0</v>
      </c>
      <c r="B45" s="12">
        <v>14.0</v>
      </c>
      <c r="C45" s="13">
        <v>55.0</v>
      </c>
      <c r="D45" s="14">
        <v>130.0</v>
      </c>
      <c r="E45" s="14">
        <v>141.0</v>
      </c>
      <c r="F45" s="13">
        <v>40.3</v>
      </c>
      <c r="G45" s="14">
        <v>158.3</v>
      </c>
      <c r="H45" s="14">
        <v>158.3</v>
      </c>
      <c r="I45" s="14">
        <v>40.0</v>
      </c>
      <c r="J45" s="14">
        <v>40.0</v>
      </c>
      <c r="K45" s="21">
        <v>57.66479249399661</v>
      </c>
      <c r="L45" s="21">
        <v>129.9757757124967</v>
      </c>
      <c r="M45" s="21">
        <v>95.244788191718</v>
      </c>
      <c r="N45" s="21">
        <v>22.5895514741812</v>
      </c>
      <c r="O45" s="21">
        <v>22.5895514741812</v>
      </c>
      <c r="P45" s="21">
        <v>152.5541525016717</v>
      </c>
      <c r="Q45" s="21">
        <v>22.23892043086314</v>
      </c>
      <c r="R45" s="21">
        <v>22.23892043086314</v>
      </c>
      <c r="S45" s="22">
        <f t="shared" ref="S45:Z45" si="39">ABS(C45-K45)*100/C45</f>
        <v>4.845077262</v>
      </c>
      <c r="T45" s="22">
        <f t="shared" si="39"/>
        <v>0.01863406731</v>
      </c>
      <c r="U45" s="22">
        <f t="shared" si="39"/>
        <v>32.45050483</v>
      </c>
      <c r="V45" s="22">
        <f t="shared" si="39"/>
        <v>43.9465224</v>
      </c>
      <c r="W45" s="22">
        <f t="shared" si="39"/>
        <v>85.72991063</v>
      </c>
      <c r="X45" s="22">
        <f t="shared" si="39"/>
        <v>3.629720466</v>
      </c>
      <c r="Y45" s="22">
        <f t="shared" si="39"/>
        <v>44.40269892</v>
      </c>
      <c r="Z45" s="22">
        <f t="shared" si="39"/>
        <v>44.40269892</v>
      </c>
    </row>
    <row r="46">
      <c r="A46" s="11">
        <v>45839.0</v>
      </c>
      <c r="B46" s="12">
        <v>15.0</v>
      </c>
      <c r="C46" s="13">
        <v>62.0</v>
      </c>
      <c r="D46" s="14">
        <v>130.0</v>
      </c>
      <c r="E46" s="14">
        <v>141.0</v>
      </c>
      <c r="F46" s="13">
        <v>43.3</v>
      </c>
      <c r="G46" s="14">
        <v>158.3</v>
      </c>
      <c r="H46" s="14">
        <v>158.3</v>
      </c>
      <c r="I46" s="14">
        <v>40.0</v>
      </c>
      <c r="J46" s="14">
        <v>40.0</v>
      </c>
      <c r="K46" s="21">
        <v>57.73112475790556</v>
      </c>
      <c r="L46" s="21">
        <v>129.991280737904</v>
      </c>
      <c r="M46" s="21">
        <v>95.34439172833216</v>
      </c>
      <c r="N46" s="21">
        <v>22.75199779008416</v>
      </c>
      <c r="O46" s="21">
        <v>22.75199779008416</v>
      </c>
      <c r="P46" s="21">
        <v>152.4681891225094</v>
      </c>
      <c r="Q46" s="21">
        <v>22.25918455040218</v>
      </c>
      <c r="R46" s="21">
        <v>22.25918455040218</v>
      </c>
      <c r="S46" s="22">
        <f t="shared" ref="S46:Z46" si="40">ABS(C46-K46)*100/C46</f>
        <v>6.885282649</v>
      </c>
      <c r="T46" s="22">
        <f t="shared" si="40"/>
        <v>0.006707124689</v>
      </c>
      <c r="U46" s="22">
        <f t="shared" si="40"/>
        <v>32.37986402</v>
      </c>
      <c r="V46" s="22">
        <f t="shared" si="40"/>
        <v>47.45497046</v>
      </c>
      <c r="W46" s="22">
        <f t="shared" si="40"/>
        <v>85.62729135</v>
      </c>
      <c r="X46" s="22">
        <f t="shared" si="40"/>
        <v>3.684024559</v>
      </c>
      <c r="Y46" s="22">
        <f t="shared" si="40"/>
        <v>44.35203862</v>
      </c>
      <c r="Z46" s="22">
        <f t="shared" si="40"/>
        <v>44.35203862</v>
      </c>
    </row>
    <row r="47">
      <c r="A47" s="11">
        <v>45839.0</v>
      </c>
      <c r="B47" s="12">
        <v>16.0</v>
      </c>
      <c r="C47" s="13">
        <v>57.0</v>
      </c>
      <c r="D47" s="14">
        <v>130.0</v>
      </c>
      <c r="E47" s="14">
        <v>138.0</v>
      </c>
      <c r="F47" s="13">
        <v>40.7</v>
      </c>
      <c r="G47" s="14">
        <v>158.3</v>
      </c>
      <c r="H47" s="14">
        <v>158.3</v>
      </c>
      <c r="I47" s="14">
        <v>40.0</v>
      </c>
      <c r="J47" s="14">
        <v>40.0</v>
      </c>
      <c r="K47" s="21">
        <v>57.65834515656312</v>
      </c>
      <c r="L47" s="21">
        <v>130.0096147963417</v>
      </c>
      <c r="M47" s="21">
        <v>143.1583875462645</v>
      </c>
      <c r="N47" s="21">
        <v>22.91974885282973</v>
      </c>
      <c r="O47" s="21">
        <v>22.91974885282973</v>
      </c>
      <c r="P47" s="21">
        <v>152.4571630072194</v>
      </c>
      <c r="Q47" s="21">
        <v>22.26111304420546</v>
      </c>
      <c r="R47" s="21">
        <v>22.26111304420546</v>
      </c>
      <c r="S47" s="22">
        <f t="shared" ref="S47:Z47" si="41">ABS(C47-K47)*100/C47</f>
        <v>1.154991503</v>
      </c>
      <c r="T47" s="22">
        <f t="shared" si="41"/>
        <v>0.007395997186</v>
      </c>
      <c r="U47" s="22">
        <f t="shared" si="41"/>
        <v>3.73796199</v>
      </c>
      <c r="V47" s="22">
        <f t="shared" si="41"/>
        <v>43.68612075</v>
      </c>
      <c r="W47" s="22">
        <f t="shared" si="41"/>
        <v>85.521321</v>
      </c>
      <c r="X47" s="22">
        <f t="shared" si="41"/>
        <v>3.690989888</v>
      </c>
      <c r="Y47" s="22">
        <f t="shared" si="41"/>
        <v>44.34721739</v>
      </c>
      <c r="Z47" s="22">
        <f t="shared" si="41"/>
        <v>44.34721739</v>
      </c>
    </row>
    <row r="48">
      <c r="A48" s="11">
        <v>45839.0</v>
      </c>
      <c r="B48" s="12">
        <v>17.0</v>
      </c>
      <c r="C48" s="13">
        <v>55.0</v>
      </c>
      <c r="D48" s="14">
        <v>130.0</v>
      </c>
      <c r="E48" s="14">
        <v>138.0</v>
      </c>
      <c r="F48" s="13">
        <v>38.4</v>
      </c>
      <c r="G48" s="14">
        <v>158.3</v>
      </c>
      <c r="H48" s="14">
        <v>158.3</v>
      </c>
      <c r="I48" s="14">
        <v>36.0</v>
      </c>
      <c r="J48" s="14">
        <v>36.0</v>
      </c>
      <c r="K48" s="21">
        <v>57.60747904235258</v>
      </c>
      <c r="L48" s="21">
        <v>130.0413136477087</v>
      </c>
      <c r="M48" s="21">
        <v>143.2860132009742</v>
      </c>
      <c r="N48" s="21">
        <v>23.08368973129173</v>
      </c>
      <c r="O48" s="21">
        <v>23.08368973129173</v>
      </c>
      <c r="P48" s="21">
        <v>152.5467468514804</v>
      </c>
      <c r="Q48" s="21">
        <v>22.2873736718396</v>
      </c>
      <c r="R48" s="21">
        <v>22.2873736718396</v>
      </c>
      <c r="S48" s="22">
        <f t="shared" ref="S48:Z48" si="42">ABS(C48-K48)*100/C48</f>
        <v>4.740870986</v>
      </c>
      <c r="T48" s="22">
        <f t="shared" si="42"/>
        <v>0.03177972901</v>
      </c>
      <c r="U48" s="22">
        <f t="shared" si="42"/>
        <v>3.830444349</v>
      </c>
      <c r="V48" s="22">
        <f t="shared" si="42"/>
        <v>39.88622466</v>
      </c>
      <c r="W48" s="22">
        <f t="shared" si="42"/>
        <v>85.41775759</v>
      </c>
      <c r="X48" s="22">
        <f t="shared" si="42"/>
        <v>3.634398704</v>
      </c>
      <c r="Y48" s="22">
        <f t="shared" si="42"/>
        <v>38.09062869</v>
      </c>
      <c r="Z48" s="22">
        <f t="shared" si="42"/>
        <v>38.09062869</v>
      </c>
    </row>
    <row r="49">
      <c r="A49" s="11">
        <v>45839.0</v>
      </c>
      <c r="B49" s="12">
        <v>18.0</v>
      </c>
      <c r="C49" s="13">
        <v>63.0</v>
      </c>
      <c r="D49" s="14">
        <v>130.0</v>
      </c>
      <c r="E49" s="14">
        <v>138.0</v>
      </c>
      <c r="F49" s="13">
        <v>43.1</v>
      </c>
      <c r="G49" s="14">
        <v>158.3</v>
      </c>
      <c r="H49" s="14">
        <v>158.3</v>
      </c>
      <c r="I49" s="14">
        <v>36.0</v>
      </c>
      <c r="J49" s="14">
        <v>36.0</v>
      </c>
      <c r="K49" s="21">
        <v>57.6300960478741</v>
      </c>
      <c r="L49" s="21">
        <v>130.1044806323364</v>
      </c>
      <c r="M49" s="21">
        <v>143.4099815685068</v>
      </c>
      <c r="N49" s="21">
        <v>23.24298271069734</v>
      </c>
      <c r="O49" s="21">
        <v>23.24298271069734</v>
      </c>
      <c r="P49" s="21">
        <v>152.7227006005047</v>
      </c>
      <c r="Q49" s="21">
        <v>22.32897971900873</v>
      </c>
      <c r="R49" s="21">
        <v>22.32897971900873</v>
      </c>
      <c r="S49" s="22">
        <f t="shared" ref="S49:Z49" si="43">ABS(C49-K49)*100/C49</f>
        <v>8.523657067</v>
      </c>
      <c r="T49" s="22">
        <f t="shared" si="43"/>
        <v>0.08036971718</v>
      </c>
      <c r="U49" s="22">
        <f t="shared" si="43"/>
        <v>3.920276499</v>
      </c>
      <c r="V49" s="22">
        <f t="shared" si="43"/>
        <v>46.07196587</v>
      </c>
      <c r="W49" s="22">
        <f t="shared" si="43"/>
        <v>85.31713032</v>
      </c>
      <c r="X49" s="22">
        <f t="shared" si="43"/>
        <v>3.52324662</v>
      </c>
      <c r="Y49" s="22">
        <f t="shared" si="43"/>
        <v>37.97505634</v>
      </c>
      <c r="Z49" s="22">
        <f t="shared" si="43"/>
        <v>37.97505634</v>
      </c>
    </row>
    <row r="50">
      <c r="A50" s="11">
        <v>45839.0</v>
      </c>
      <c r="B50" s="12">
        <v>19.0</v>
      </c>
      <c r="C50" s="13">
        <v>62.0</v>
      </c>
      <c r="D50" s="14">
        <v>130.0</v>
      </c>
      <c r="E50" s="14">
        <v>138.0</v>
      </c>
      <c r="F50" s="13">
        <v>44.6</v>
      </c>
      <c r="G50" s="14">
        <v>158.3</v>
      </c>
      <c r="H50" s="14">
        <v>158.3</v>
      </c>
      <c r="I50" s="14">
        <v>40.0</v>
      </c>
      <c r="J50" s="14">
        <v>40.0</v>
      </c>
      <c r="K50" s="21">
        <v>57.60281762157975</v>
      </c>
      <c r="L50" s="21">
        <v>130.1629021037202</v>
      </c>
      <c r="M50" s="21">
        <v>143.5359117940799</v>
      </c>
      <c r="N50" s="21">
        <v>23.40195851201784</v>
      </c>
      <c r="O50" s="21">
        <v>23.40195851201784</v>
      </c>
      <c r="P50" s="21">
        <v>152.8843759207492</v>
      </c>
      <c r="Q50" s="21">
        <v>22.35957500545408</v>
      </c>
      <c r="R50" s="21">
        <v>22.35957500545408</v>
      </c>
      <c r="S50" s="22">
        <f t="shared" ref="S50:Z50" si="44">ABS(C50-K50)*100/C50</f>
        <v>7.092229643</v>
      </c>
      <c r="T50" s="22">
        <f t="shared" si="44"/>
        <v>0.1253093106</v>
      </c>
      <c r="U50" s="22">
        <f t="shared" si="44"/>
        <v>4.011530286</v>
      </c>
      <c r="V50" s="22">
        <f t="shared" si="44"/>
        <v>47.529241</v>
      </c>
      <c r="W50" s="22">
        <f t="shared" si="44"/>
        <v>85.2167034</v>
      </c>
      <c r="X50" s="22">
        <f t="shared" si="44"/>
        <v>3.42111439</v>
      </c>
      <c r="Y50" s="22">
        <f t="shared" si="44"/>
        <v>44.10106249</v>
      </c>
      <c r="Z50" s="22">
        <f t="shared" si="44"/>
        <v>44.10106249</v>
      </c>
    </row>
    <row r="51">
      <c r="A51" s="11">
        <v>45839.0</v>
      </c>
      <c r="B51" s="12">
        <v>20.0</v>
      </c>
      <c r="C51" s="13">
        <v>62.0</v>
      </c>
      <c r="D51" s="14">
        <v>130.0</v>
      </c>
      <c r="E51" s="14">
        <v>138.0</v>
      </c>
      <c r="F51" s="13">
        <v>43.0</v>
      </c>
      <c r="G51" s="14">
        <v>158.3</v>
      </c>
      <c r="H51" s="14">
        <v>158.3</v>
      </c>
      <c r="I51" s="14">
        <v>40.0</v>
      </c>
      <c r="J51" s="14">
        <v>40.0</v>
      </c>
      <c r="K51" s="21">
        <v>57.66989501725031</v>
      </c>
      <c r="L51" s="21">
        <v>130.1999341815568</v>
      </c>
      <c r="M51" s="21">
        <v>143.6562385875122</v>
      </c>
      <c r="N51" s="21">
        <v>23.56354702832576</v>
      </c>
      <c r="O51" s="21">
        <v>23.56354702832576</v>
      </c>
      <c r="P51" s="21">
        <v>152.9941997960496</v>
      </c>
      <c r="Q51" s="21">
        <v>22.38350232826228</v>
      </c>
      <c r="R51" s="21">
        <v>22.38350232826228</v>
      </c>
      <c r="S51" s="22">
        <f t="shared" ref="S51:Z51" si="45">ABS(C51-K51)*100/C51</f>
        <v>6.984040295</v>
      </c>
      <c r="T51" s="22">
        <f t="shared" si="45"/>
        <v>0.1537955243</v>
      </c>
      <c r="U51" s="22">
        <f t="shared" si="45"/>
        <v>4.098723614</v>
      </c>
      <c r="V51" s="22">
        <f t="shared" si="45"/>
        <v>45.20105342</v>
      </c>
      <c r="W51" s="22">
        <f t="shared" si="45"/>
        <v>85.11462601</v>
      </c>
      <c r="X51" s="22">
        <f t="shared" si="45"/>
        <v>3.351737337</v>
      </c>
      <c r="Y51" s="22">
        <f t="shared" si="45"/>
        <v>44.04124418</v>
      </c>
      <c r="Z51" s="22">
        <f t="shared" si="45"/>
        <v>44.04124418</v>
      </c>
    </row>
    <row r="52">
      <c r="A52" s="11">
        <v>45839.0</v>
      </c>
      <c r="B52" s="12">
        <v>21.0</v>
      </c>
      <c r="C52" s="13">
        <v>55.0</v>
      </c>
      <c r="D52" s="14">
        <v>130.0</v>
      </c>
      <c r="E52" s="14">
        <v>138.0</v>
      </c>
      <c r="F52" s="13">
        <v>38.0</v>
      </c>
      <c r="G52" s="14">
        <v>158.3</v>
      </c>
      <c r="H52" s="14">
        <v>158.3</v>
      </c>
      <c r="I52" s="14">
        <v>40.0</v>
      </c>
      <c r="J52" s="14">
        <v>40.0</v>
      </c>
      <c r="K52" s="21">
        <v>57.72541241610158</v>
      </c>
      <c r="L52" s="21">
        <v>130.238099579741</v>
      </c>
      <c r="M52" s="21">
        <v>143.7773765625424</v>
      </c>
      <c r="N52" s="21">
        <v>23.65535511203904</v>
      </c>
      <c r="O52" s="21">
        <v>23.65535511203904</v>
      </c>
      <c r="P52" s="21">
        <v>153.0904184411093</v>
      </c>
      <c r="Q52" s="21">
        <v>22.40302015364454</v>
      </c>
      <c r="R52" s="21">
        <v>22.40302015364454</v>
      </c>
      <c r="S52" s="22">
        <f t="shared" ref="S52:Z52" si="46">ABS(C52-K52)*100/C52</f>
        <v>4.955295302</v>
      </c>
      <c r="T52" s="22">
        <f t="shared" si="46"/>
        <v>0.1831535229</v>
      </c>
      <c r="U52" s="22">
        <f t="shared" si="46"/>
        <v>4.186504755</v>
      </c>
      <c r="V52" s="22">
        <f t="shared" si="46"/>
        <v>37.74906549</v>
      </c>
      <c r="W52" s="22">
        <f t="shared" si="46"/>
        <v>85.05662975</v>
      </c>
      <c r="X52" s="22">
        <f t="shared" si="46"/>
        <v>3.29095487</v>
      </c>
      <c r="Y52" s="22">
        <f t="shared" si="46"/>
        <v>43.99244962</v>
      </c>
      <c r="Z52" s="22">
        <f t="shared" si="46"/>
        <v>43.99244962</v>
      </c>
    </row>
    <row r="53">
      <c r="A53" s="11">
        <v>45839.0</v>
      </c>
      <c r="B53" s="12">
        <v>22.0</v>
      </c>
      <c r="C53" s="13">
        <v>63.0</v>
      </c>
      <c r="D53" s="14">
        <v>130.0</v>
      </c>
      <c r="E53" s="14">
        <v>138.0</v>
      </c>
      <c r="F53" s="13">
        <v>47.2</v>
      </c>
      <c r="G53" s="14">
        <v>158.3</v>
      </c>
      <c r="H53" s="14">
        <v>158.3</v>
      </c>
      <c r="I53" s="14">
        <v>40.0</v>
      </c>
      <c r="J53" s="14">
        <v>40.0</v>
      </c>
      <c r="K53" s="21">
        <v>57.87831850706679</v>
      </c>
      <c r="L53" s="21">
        <v>130.2433604563416</v>
      </c>
      <c r="M53" s="21">
        <v>143.8992789778993</v>
      </c>
      <c r="N53" s="21">
        <v>23.77597936508421</v>
      </c>
      <c r="O53" s="21">
        <v>23.77597936508421</v>
      </c>
      <c r="P53" s="21">
        <v>153.1454941081357</v>
      </c>
      <c r="Q53" s="21">
        <v>22.4261377170428</v>
      </c>
      <c r="R53" s="21">
        <v>22.4261377170428</v>
      </c>
      <c r="S53" s="22">
        <f t="shared" ref="S53:Z53" si="47">ABS(C53-K53)*100/C53</f>
        <v>8.129653163</v>
      </c>
      <c r="T53" s="22">
        <f t="shared" si="47"/>
        <v>0.187200351</v>
      </c>
      <c r="U53" s="22">
        <f t="shared" si="47"/>
        <v>4.274839839</v>
      </c>
      <c r="V53" s="22">
        <f t="shared" si="47"/>
        <v>49.62716236</v>
      </c>
      <c r="W53" s="22">
        <f t="shared" si="47"/>
        <v>84.98042997</v>
      </c>
      <c r="X53" s="22">
        <f t="shared" si="47"/>
        <v>3.256162913</v>
      </c>
      <c r="Y53" s="22">
        <f t="shared" si="47"/>
        <v>43.93465571</v>
      </c>
      <c r="Z53" s="22">
        <f t="shared" si="47"/>
        <v>43.93465571</v>
      </c>
    </row>
    <row r="54">
      <c r="A54" s="11">
        <v>45839.0</v>
      </c>
      <c r="B54" s="12">
        <v>23.0</v>
      </c>
      <c r="C54" s="13">
        <v>56.0</v>
      </c>
      <c r="D54" s="14">
        <v>130.0</v>
      </c>
      <c r="E54" s="14">
        <v>138.0</v>
      </c>
      <c r="F54" s="13">
        <v>47.1</v>
      </c>
      <c r="G54" s="14">
        <v>158.3</v>
      </c>
      <c r="H54" s="14">
        <v>158.3</v>
      </c>
      <c r="I54" s="14">
        <v>40.0</v>
      </c>
      <c r="J54" s="14">
        <v>40.0</v>
      </c>
      <c r="K54" s="21">
        <v>57.92989258437488</v>
      </c>
      <c r="L54" s="21">
        <v>130.2461877180858</v>
      </c>
      <c r="M54" s="21">
        <v>144.0113893424984</v>
      </c>
      <c r="N54" s="21">
        <v>23.80322749889343</v>
      </c>
      <c r="O54" s="21">
        <v>23.80322749889343</v>
      </c>
      <c r="P54" s="21">
        <v>153.159293078954</v>
      </c>
      <c r="Q54" s="21">
        <v>22.41633045679304</v>
      </c>
      <c r="R54" s="21">
        <v>22.41633045679304</v>
      </c>
      <c r="S54" s="22">
        <f t="shared" ref="S54:Z54" si="48">ABS(C54-K54)*100/C54</f>
        <v>3.446236758</v>
      </c>
      <c r="T54" s="22">
        <f t="shared" si="48"/>
        <v>0.1893751678</v>
      </c>
      <c r="U54" s="22">
        <f t="shared" si="48"/>
        <v>4.356079234</v>
      </c>
      <c r="V54" s="22">
        <f t="shared" si="48"/>
        <v>49.462362</v>
      </c>
      <c r="W54" s="22">
        <f t="shared" si="48"/>
        <v>84.96321699</v>
      </c>
      <c r="X54" s="22">
        <f t="shared" si="48"/>
        <v>3.247445939</v>
      </c>
      <c r="Y54" s="22">
        <f t="shared" si="48"/>
        <v>43.95917386</v>
      </c>
      <c r="Z54" s="22">
        <f t="shared" si="48"/>
        <v>43.95917386</v>
      </c>
    </row>
    <row r="55">
      <c r="A55" s="11">
        <v>45839.0</v>
      </c>
      <c r="B55" s="12">
        <v>24.0</v>
      </c>
      <c r="C55" s="13">
        <v>64.0</v>
      </c>
      <c r="D55" s="14">
        <v>130.0</v>
      </c>
      <c r="E55" s="14">
        <v>138.0</v>
      </c>
      <c r="F55" s="13">
        <v>47.2</v>
      </c>
      <c r="G55" s="14">
        <v>158.3</v>
      </c>
      <c r="H55" s="14">
        <v>158.3</v>
      </c>
      <c r="I55" s="14">
        <v>40.0</v>
      </c>
      <c r="J55" s="14">
        <v>40.0</v>
      </c>
      <c r="K55" s="21">
        <v>58.03825713465467</v>
      </c>
      <c r="L55" s="21">
        <v>130.239854918045</v>
      </c>
      <c r="M55" s="21">
        <v>144.1336405307861</v>
      </c>
      <c r="N55" s="21">
        <v>23.86440919084574</v>
      </c>
      <c r="O55" s="21">
        <v>23.86440919084574</v>
      </c>
      <c r="P55" s="21">
        <v>153.1426985038036</v>
      </c>
      <c r="Q55" s="21">
        <v>22.40719271272609</v>
      </c>
      <c r="R55" s="21">
        <v>22.40719271272609</v>
      </c>
      <c r="S55" s="22">
        <f t="shared" ref="S55:Z55" si="49">ABS(C55-K55)*100/C55</f>
        <v>9.315223227</v>
      </c>
      <c r="T55" s="22">
        <f t="shared" si="49"/>
        <v>0.1845037831</v>
      </c>
      <c r="U55" s="22">
        <f t="shared" si="49"/>
        <v>4.444667051</v>
      </c>
      <c r="V55" s="22">
        <f t="shared" si="49"/>
        <v>49.43981104</v>
      </c>
      <c r="W55" s="22">
        <f t="shared" si="49"/>
        <v>84.92456779</v>
      </c>
      <c r="X55" s="22">
        <f t="shared" si="49"/>
        <v>3.25792893</v>
      </c>
      <c r="Y55" s="22">
        <f t="shared" si="49"/>
        <v>43.98201822</v>
      </c>
      <c r="Z55" s="22">
        <f t="shared" si="49"/>
        <v>43.98201822</v>
      </c>
    </row>
    <row r="56">
      <c r="S56" s="19">
        <f t="shared" ref="S56:Z56" si="50">AVERAGE(S32:S55)</f>
        <v>4.514175894</v>
      </c>
      <c r="T56" s="19">
        <f t="shared" si="50"/>
        <v>0.07178239976</v>
      </c>
      <c r="U56" s="19">
        <f t="shared" si="50"/>
        <v>8.503622058</v>
      </c>
      <c r="V56" s="19">
        <f t="shared" si="50"/>
        <v>48.0567876</v>
      </c>
      <c r="W56" s="19">
        <f t="shared" si="50"/>
        <v>85.78401901</v>
      </c>
      <c r="X56" s="19">
        <f t="shared" si="50"/>
        <v>2.989190223</v>
      </c>
      <c r="Y56" s="19">
        <f t="shared" si="50"/>
        <v>45.32918747</v>
      </c>
      <c r="Z56" s="19">
        <f t="shared" si="50"/>
        <v>45.32918747</v>
      </c>
    </row>
    <row r="59">
      <c r="A59" s="1"/>
      <c r="B59" s="1"/>
      <c r="C59" s="2" t="s">
        <v>0</v>
      </c>
      <c r="D59" s="3"/>
      <c r="E59" s="3"/>
      <c r="F59" s="3"/>
      <c r="G59" s="3"/>
      <c r="H59" s="4"/>
      <c r="I59" s="5" t="s">
        <v>32</v>
      </c>
      <c r="J59" s="3"/>
      <c r="K59" s="3"/>
      <c r="L59" s="3"/>
      <c r="M59" s="3"/>
      <c r="N59" s="4"/>
      <c r="O59" s="6" t="s">
        <v>2</v>
      </c>
      <c r="P59" s="3"/>
      <c r="Q59" s="3"/>
      <c r="R59" s="3"/>
      <c r="S59" s="3"/>
      <c r="T59" s="4"/>
    </row>
    <row r="60">
      <c r="A60" s="7" t="s">
        <v>3</v>
      </c>
      <c r="B60" s="7" t="s">
        <v>4</v>
      </c>
      <c r="C60" s="8" t="s">
        <v>5</v>
      </c>
      <c r="D60" s="8" t="s">
        <v>6</v>
      </c>
      <c r="E60" s="8" t="s">
        <v>7</v>
      </c>
      <c r="F60" s="8" t="s">
        <v>8</v>
      </c>
      <c r="G60" s="8" t="s">
        <v>9</v>
      </c>
      <c r="H60" s="8" t="s">
        <v>10</v>
      </c>
      <c r="I60" s="9" t="s">
        <v>11</v>
      </c>
      <c r="J60" s="9" t="s">
        <v>12</v>
      </c>
      <c r="K60" s="9" t="s">
        <v>13</v>
      </c>
      <c r="L60" s="9" t="s">
        <v>14</v>
      </c>
      <c r="M60" s="9" t="s">
        <v>15</v>
      </c>
      <c r="N60" s="9" t="s">
        <v>16</v>
      </c>
      <c r="O60" s="10" t="s">
        <v>17</v>
      </c>
      <c r="P60" s="10" t="s">
        <v>18</v>
      </c>
      <c r="Q60" s="10" t="s">
        <v>19</v>
      </c>
      <c r="R60" s="10" t="s">
        <v>20</v>
      </c>
      <c r="S60" s="10" t="s">
        <v>21</v>
      </c>
      <c r="T60" s="10" t="s">
        <v>22</v>
      </c>
    </row>
    <row r="61">
      <c r="A61" s="11">
        <v>45839.0</v>
      </c>
      <c r="B61" s="12">
        <v>1.0</v>
      </c>
      <c r="C61" s="13">
        <v>60.0</v>
      </c>
      <c r="D61" s="14">
        <v>130.0</v>
      </c>
      <c r="E61" s="14">
        <v>141.0</v>
      </c>
      <c r="F61" s="13">
        <v>46.0</v>
      </c>
      <c r="G61" s="14">
        <v>158.3</v>
      </c>
      <c r="H61" s="14">
        <v>44.0</v>
      </c>
      <c r="I61" s="15">
        <v>60.66325</v>
      </c>
      <c r="J61" s="15">
        <v>129.8601</v>
      </c>
      <c r="K61" s="15">
        <v>140.0795</v>
      </c>
      <c r="L61" s="15">
        <v>41.82756</v>
      </c>
      <c r="M61" s="15">
        <v>154.788</v>
      </c>
      <c r="N61" s="15">
        <v>43.41932</v>
      </c>
      <c r="O61" s="16">
        <f t="shared" ref="O61:T61" si="51"> ABS(C61-I61)*100/C61</f>
        <v>1.105416667</v>
      </c>
      <c r="P61" s="17">
        <f t="shared" si="51"/>
        <v>0.1076153846</v>
      </c>
      <c r="Q61" s="17">
        <f t="shared" si="51"/>
        <v>0.6528368794</v>
      </c>
      <c r="R61" s="17">
        <f t="shared" si="51"/>
        <v>9.070521739</v>
      </c>
      <c r="S61" s="17">
        <f t="shared" si="51"/>
        <v>2.218572331</v>
      </c>
      <c r="T61" s="17">
        <f t="shared" si="51"/>
        <v>1.319727273</v>
      </c>
    </row>
    <row r="62">
      <c r="A62" s="11">
        <v>45839.0</v>
      </c>
      <c r="B62" s="12">
        <v>2.0</v>
      </c>
      <c r="C62" s="13">
        <v>63.0</v>
      </c>
      <c r="D62" s="14">
        <v>130.0</v>
      </c>
      <c r="E62" s="14">
        <v>141.0</v>
      </c>
      <c r="F62" s="13">
        <v>45.8</v>
      </c>
      <c r="G62" s="14">
        <v>158.3</v>
      </c>
      <c r="H62" s="14">
        <v>44.0</v>
      </c>
      <c r="I62" s="15">
        <v>60.85129</v>
      </c>
      <c r="J62" s="15">
        <v>130.0941</v>
      </c>
      <c r="K62" s="15">
        <v>139.926</v>
      </c>
      <c r="L62" s="15">
        <v>42.05687</v>
      </c>
      <c r="M62" s="15">
        <v>152.1806</v>
      </c>
      <c r="N62" s="15">
        <v>41.26068</v>
      </c>
      <c r="O62" s="16">
        <f t="shared" ref="O62:T62" si="52"> ABS(C62-I62)*100/C62</f>
        <v>3.410650794</v>
      </c>
      <c r="P62" s="17">
        <f t="shared" si="52"/>
        <v>0.07238461538</v>
      </c>
      <c r="Q62" s="17">
        <f t="shared" si="52"/>
        <v>0.7617021277</v>
      </c>
      <c r="R62" s="17">
        <f t="shared" si="52"/>
        <v>8.172772926</v>
      </c>
      <c r="S62" s="17">
        <f t="shared" si="52"/>
        <v>3.865698042</v>
      </c>
      <c r="T62" s="17">
        <f t="shared" si="52"/>
        <v>6.225727273</v>
      </c>
    </row>
    <row r="63">
      <c r="A63" s="11">
        <v>45839.0</v>
      </c>
      <c r="B63" s="12">
        <v>3.0</v>
      </c>
      <c r="C63" s="13">
        <v>64.0</v>
      </c>
      <c r="D63" s="14">
        <v>130.0</v>
      </c>
      <c r="E63" s="14">
        <v>141.0</v>
      </c>
      <c r="F63" s="13">
        <v>46.2</v>
      </c>
      <c r="G63" s="14">
        <v>158.3</v>
      </c>
      <c r="H63" s="14">
        <v>44.0</v>
      </c>
      <c r="I63" s="15">
        <v>60.6523</v>
      </c>
      <c r="J63" s="15">
        <v>130.1185</v>
      </c>
      <c r="K63" s="15">
        <v>139.5624</v>
      </c>
      <c r="L63" s="15">
        <v>42.10111</v>
      </c>
      <c r="M63" s="15">
        <v>149.6127</v>
      </c>
      <c r="N63" s="15">
        <v>40.38676</v>
      </c>
      <c r="O63" s="16">
        <f t="shared" ref="O63:T63" si="53"> ABS(C63-I63)*100/C63</f>
        <v>5.23078125</v>
      </c>
      <c r="P63" s="17">
        <f t="shared" si="53"/>
        <v>0.09115384615</v>
      </c>
      <c r="Q63" s="17">
        <f t="shared" si="53"/>
        <v>1.019574468</v>
      </c>
      <c r="R63" s="17">
        <f t="shared" si="53"/>
        <v>8.872056277</v>
      </c>
      <c r="S63" s="17">
        <f t="shared" si="53"/>
        <v>5.487871131</v>
      </c>
      <c r="T63" s="17">
        <f t="shared" si="53"/>
        <v>8.211909091</v>
      </c>
    </row>
    <row r="64">
      <c r="A64" s="11">
        <v>45839.0</v>
      </c>
      <c r="B64" s="12">
        <v>4.0</v>
      </c>
      <c r="C64" s="13">
        <v>63.0</v>
      </c>
      <c r="D64" s="14">
        <v>130.0</v>
      </c>
      <c r="E64" s="14">
        <v>141.0</v>
      </c>
      <c r="F64" s="13">
        <v>45.8</v>
      </c>
      <c r="G64" s="14">
        <v>158.3</v>
      </c>
      <c r="H64" s="14">
        <v>44.0</v>
      </c>
      <c r="I64" s="15">
        <v>60.94049</v>
      </c>
      <c r="J64" s="15">
        <v>130.0602</v>
      </c>
      <c r="K64" s="15">
        <v>139.0715</v>
      </c>
      <c r="L64" s="15">
        <v>40.11425</v>
      </c>
      <c r="M64" s="15">
        <v>146.1321</v>
      </c>
      <c r="N64" s="15">
        <v>39.39641</v>
      </c>
      <c r="O64" s="16">
        <f t="shared" ref="O64:T64" si="54"> ABS(C64-I64)*100/C64</f>
        <v>3.269063492</v>
      </c>
      <c r="P64" s="17">
        <f t="shared" si="54"/>
        <v>0.04630769231</v>
      </c>
      <c r="Q64" s="17">
        <f t="shared" si="54"/>
        <v>1.367730496</v>
      </c>
      <c r="R64" s="17">
        <f t="shared" si="54"/>
        <v>12.41430131</v>
      </c>
      <c r="S64" s="17">
        <f t="shared" si="54"/>
        <v>7.686607707</v>
      </c>
      <c r="T64" s="17">
        <f t="shared" si="54"/>
        <v>10.46270455</v>
      </c>
    </row>
    <row r="65">
      <c r="A65" s="11">
        <v>45839.0</v>
      </c>
      <c r="B65" s="12">
        <v>5.0</v>
      </c>
      <c r="C65" s="13">
        <v>64.0</v>
      </c>
      <c r="D65" s="14">
        <v>130.0</v>
      </c>
      <c r="E65" s="14">
        <v>141.0</v>
      </c>
      <c r="F65" s="13">
        <v>45.8</v>
      </c>
      <c r="G65" s="14">
        <v>158.3</v>
      </c>
      <c r="H65" s="14">
        <v>44.0</v>
      </c>
      <c r="I65" s="15">
        <v>60.31697</v>
      </c>
      <c r="J65" s="15">
        <v>124.5764</v>
      </c>
      <c r="K65" s="15">
        <v>139.6527</v>
      </c>
      <c r="L65" s="15">
        <v>38.54558</v>
      </c>
      <c r="M65" s="15">
        <v>144.5164</v>
      </c>
      <c r="N65" s="15">
        <v>39.18873</v>
      </c>
      <c r="O65" s="16">
        <f t="shared" ref="O65:T65" si="55"> ABS(C65-I65)*100/C65</f>
        <v>5.754734375</v>
      </c>
      <c r="P65" s="17">
        <f t="shared" si="55"/>
        <v>4.172</v>
      </c>
      <c r="Q65" s="17">
        <f t="shared" si="55"/>
        <v>0.9555319149</v>
      </c>
      <c r="R65" s="17">
        <f t="shared" si="55"/>
        <v>15.83934498</v>
      </c>
      <c r="S65" s="17">
        <f t="shared" si="55"/>
        <v>8.707264687</v>
      </c>
      <c r="T65" s="17">
        <f t="shared" si="55"/>
        <v>10.93470455</v>
      </c>
    </row>
    <row r="66">
      <c r="A66" s="11">
        <v>45839.0</v>
      </c>
      <c r="B66" s="12">
        <v>6.0</v>
      </c>
      <c r="C66" s="13">
        <v>61.0</v>
      </c>
      <c r="D66" s="14">
        <v>130.0</v>
      </c>
      <c r="E66" s="14">
        <v>141.0</v>
      </c>
      <c r="F66" s="13">
        <v>45.7</v>
      </c>
      <c r="G66" s="14">
        <v>158.3</v>
      </c>
      <c r="H66" s="14">
        <v>44.0</v>
      </c>
      <c r="I66" s="15">
        <v>60.28682</v>
      </c>
      <c r="J66" s="15">
        <v>120.8237</v>
      </c>
      <c r="K66" s="15">
        <v>139.2162</v>
      </c>
      <c r="L66" s="15">
        <v>40.27993</v>
      </c>
      <c r="M66" s="15">
        <v>145.7324</v>
      </c>
      <c r="N66" s="15">
        <v>39.71461</v>
      </c>
      <c r="O66" s="16">
        <f t="shared" ref="O66:T66" si="56"> ABS(C66-I66)*100/C66</f>
        <v>1.169147541</v>
      </c>
      <c r="P66" s="17">
        <f t="shared" si="56"/>
        <v>7.058692308</v>
      </c>
      <c r="Q66" s="17">
        <f t="shared" si="56"/>
        <v>1.265106383</v>
      </c>
      <c r="R66" s="17">
        <f t="shared" si="56"/>
        <v>11.86010941</v>
      </c>
      <c r="S66" s="17">
        <f t="shared" si="56"/>
        <v>7.939102969</v>
      </c>
      <c r="T66" s="17">
        <f t="shared" si="56"/>
        <v>9.739522727</v>
      </c>
    </row>
    <row r="67">
      <c r="A67" s="11">
        <v>45839.0</v>
      </c>
      <c r="B67" s="12">
        <v>7.0</v>
      </c>
      <c r="C67" s="13">
        <v>59.0</v>
      </c>
      <c r="D67" s="14">
        <v>130.0</v>
      </c>
      <c r="E67" s="14">
        <v>141.0</v>
      </c>
      <c r="F67" s="13">
        <v>46.4</v>
      </c>
      <c r="G67" s="14">
        <v>158.3</v>
      </c>
      <c r="H67" s="14">
        <v>44.0</v>
      </c>
      <c r="I67" s="15">
        <v>60.27859</v>
      </c>
      <c r="J67" s="15">
        <v>120.4884</v>
      </c>
      <c r="K67" s="15">
        <v>139.5365</v>
      </c>
      <c r="L67" s="15">
        <v>38.99893</v>
      </c>
      <c r="M67" s="15">
        <v>143.8964</v>
      </c>
      <c r="N67" s="15">
        <v>40.17322</v>
      </c>
      <c r="O67" s="16">
        <f t="shared" ref="O67:T67" si="57"> ABS(C67-I67)*100/C67</f>
        <v>2.167101695</v>
      </c>
      <c r="P67" s="17">
        <f t="shared" si="57"/>
        <v>7.316615385</v>
      </c>
      <c r="Q67" s="17">
        <f t="shared" si="57"/>
        <v>1.037943262</v>
      </c>
      <c r="R67" s="17">
        <f t="shared" si="57"/>
        <v>15.9505819</v>
      </c>
      <c r="S67" s="17">
        <f t="shared" si="57"/>
        <v>9.09892609</v>
      </c>
      <c r="T67" s="17">
        <f t="shared" si="57"/>
        <v>8.697227273</v>
      </c>
    </row>
    <row r="68">
      <c r="A68" s="11">
        <v>45839.0</v>
      </c>
      <c r="B68" s="12">
        <v>8.0</v>
      </c>
      <c r="C68" s="13">
        <v>58.0</v>
      </c>
      <c r="D68" s="14">
        <v>130.0</v>
      </c>
      <c r="E68" s="14">
        <v>141.0</v>
      </c>
      <c r="F68" s="13">
        <v>45.9</v>
      </c>
      <c r="G68" s="14">
        <v>158.3</v>
      </c>
      <c r="H68" s="14">
        <v>40.0</v>
      </c>
      <c r="I68" s="15">
        <v>60.13697</v>
      </c>
      <c r="J68" s="15">
        <v>121.3786</v>
      </c>
      <c r="K68" s="15">
        <v>139.4553</v>
      </c>
      <c r="L68" s="15">
        <v>35.56354</v>
      </c>
      <c r="M68" s="15">
        <v>146.5157</v>
      </c>
      <c r="N68" s="15">
        <v>40.56492</v>
      </c>
      <c r="O68" s="16">
        <f t="shared" ref="O68:T68" si="58"> ABS(C68-I68)*100/C68</f>
        <v>3.684431034</v>
      </c>
      <c r="P68" s="17">
        <f t="shared" si="58"/>
        <v>6.631846154</v>
      </c>
      <c r="Q68" s="17">
        <f t="shared" si="58"/>
        <v>1.095531915</v>
      </c>
      <c r="R68" s="17">
        <f t="shared" si="58"/>
        <v>22.5195207</v>
      </c>
      <c r="S68" s="17">
        <f t="shared" si="58"/>
        <v>7.444283007</v>
      </c>
      <c r="T68" s="17">
        <f t="shared" si="58"/>
        <v>1.4123</v>
      </c>
    </row>
    <row r="69">
      <c r="A69" s="11">
        <v>45839.0</v>
      </c>
      <c r="B69" s="12">
        <v>9.0</v>
      </c>
      <c r="C69" s="13">
        <v>62.0</v>
      </c>
      <c r="D69" s="14">
        <v>130.0</v>
      </c>
      <c r="E69" s="14">
        <v>141.0</v>
      </c>
      <c r="F69" s="13">
        <v>42.9</v>
      </c>
      <c r="G69" s="14">
        <v>158.3</v>
      </c>
      <c r="H69" s="14">
        <v>40.0</v>
      </c>
      <c r="I69" s="15">
        <v>60.43779</v>
      </c>
      <c r="J69" s="15">
        <v>121.3661</v>
      </c>
      <c r="K69" s="15">
        <v>139.6838</v>
      </c>
      <c r="L69" s="15">
        <v>35.97973</v>
      </c>
      <c r="M69" s="15">
        <v>146.6484</v>
      </c>
      <c r="N69" s="15">
        <v>40.99188</v>
      </c>
      <c r="O69" s="16">
        <f t="shared" ref="O69:T69" si="59"> ABS(C69-I69)*100/C69</f>
        <v>2.519693548</v>
      </c>
      <c r="P69" s="17">
        <f t="shared" si="59"/>
        <v>6.641461538</v>
      </c>
      <c r="Q69" s="17">
        <f t="shared" si="59"/>
        <v>0.9334751773</v>
      </c>
      <c r="R69" s="17">
        <f t="shared" si="59"/>
        <v>16.1311655</v>
      </c>
      <c r="S69" s="17">
        <f t="shared" si="59"/>
        <v>7.360454833</v>
      </c>
      <c r="T69" s="17">
        <f t="shared" si="59"/>
        <v>2.4797</v>
      </c>
    </row>
    <row r="70">
      <c r="A70" s="11">
        <v>45839.0</v>
      </c>
      <c r="B70" s="12">
        <v>10.0</v>
      </c>
      <c r="C70" s="13">
        <v>57.0</v>
      </c>
      <c r="D70" s="14">
        <v>130.0</v>
      </c>
      <c r="E70" s="14">
        <v>141.0</v>
      </c>
      <c r="F70" s="13">
        <v>39.4</v>
      </c>
      <c r="G70" s="14">
        <v>158.3</v>
      </c>
      <c r="H70" s="14">
        <v>40.0</v>
      </c>
      <c r="I70" s="15">
        <v>60.25356</v>
      </c>
      <c r="J70" s="15">
        <v>121.377</v>
      </c>
      <c r="K70" s="15">
        <v>139.7047</v>
      </c>
      <c r="L70" s="15">
        <v>36.32646</v>
      </c>
      <c r="M70" s="15">
        <v>148.8807</v>
      </c>
      <c r="N70" s="15">
        <v>40.66729</v>
      </c>
      <c r="O70" s="16">
        <f t="shared" ref="O70:T70" si="60"> ABS(C70-I70)*100/C70</f>
        <v>5.708</v>
      </c>
      <c r="P70" s="17">
        <f t="shared" si="60"/>
        <v>6.633076923</v>
      </c>
      <c r="Q70" s="17">
        <f t="shared" si="60"/>
        <v>0.9186524823</v>
      </c>
      <c r="R70" s="17">
        <f t="shared" si="60"/>
        <v>7.800862944</v>
      </c>
      <c r="S70" s="17">
        <f t="shared" si="60"/>
        <v>5.95028427</v>
      </c>
      <c r="T70" s="17">
        <f t="shared" si="60"/>
        <v>1.668225</v>
      </c>
    </row>
    <row r="71">
      <c r="A71" s="11">
        <v>45839.0</v>
      </c>
      <c r="B71" s="12">
        <v>11.0</v>
      </c>
      <c r="C71" s="13">
        <v>61.0</v>
      </c>
      <c r="D71" s="14">
        <v>130.0</v>
      </c>
      <c r="E71" s="14">
        <v>141.0</v>
      </c>
      <c r="F71" s="13">
        <v>42.7</v>
      </c>
      <c r="G71" s="14">
        <v>158.3</v>
      </c>
      <c r="H71" s="14">
        <v>40.0</v>
      </c>
      <c r="I71" s="15">
        <v>60.23034</v>
      </c>
      <c r="J71" s="15">
        <v>119.5898</v>
      </c>
      <c r="K71" s="15">
        <v>139.7203</v>
      </c>
      <c r="L71" s="15">
        <v>36.98658</v>
      </c>
      <c r="M71" s="15">
        <v>151.2026</v>
      </c>
      <c r="N71" s="15">
        <v>40.37587</v>
      </c>
      <c r="O71" s="16">
        <f t="shared" ref="O71:T71" si="61"> ABS(C71-I71)*100/C71</f>
        <v>1.261737705</v>
      </c>
      <c r="P71" s="17">
        <f t="shared" si="61"/>
        <v>8.007846154</v>
      </c>
      <c r="Q71" s="17">
        <f t="shared" si="61"/>
        <v>0.9075886525</v>
      </c>
      <c r="R71" s="17">
        <f t="shared" si="61"/>
        <v>13.38037471</v>
      </c>
      <c r="S71" s="17">
        <f t="shared" si="61"/>
        <v>4.483512318</v>
      </c>
      <c r="T71" s="17">
        <f t="shared" si="61"/>
        <v>0.939675</v>
      </c>
    </row>
    <row r="72">
      <c r="A72" s="11">
        <v>45839.0</v>
      </c>
      <c r="B72" s="12">
        <v>12.0</v>
      </c>
      <c r="C72" s="13">
        <v>56.0</v>
      </c>
      <c r="D72" s="14">
        <v>130.0</v>
      </c>
      <c r="E72" s="14">
        <v>141.0</v>
      </c>
      <c r="F72" s="13">
        <v>38.1</v>
      </c>
      <c r="G72" s="14">
        <v>158.3</v>
      </c>
      <c r="H72" s="14">
        <v>40.0</v>
      </c>
      <c r="I72" s="15">
        <v>60.13574</v>
      </c>
      <c r="J72" s="15">
        <v>120.1985</v>
      </c>
      <c r="K72" s="15">
        <v>139.5439</v>
      </c>
      <c r="L72" s="15">
        <v>37.71009</v>
      </c>
      <c r="M72" s="15">
        <v>153.1125</v>
      </c>
      <c r="N72" s="15">
        <v>40.83757</v>
      </c>
      <c r="O72" s="16">
        <f t="shared" ref="O72:T72" si="62"> ABS(C72-I72)*100/C72</f>
        <v>7.38525</v>
      </c>
      <c r="P72" s="17">
        <f t="shared" si="62"/>
        <v>7.539615385</v>
      </c>
      <c r="Q72" s="17">
        <f t="shared" si="62"/>
        <v>1.032695035</v>
      </c>
      <c r="R72" s="17">
        <f t="shared" si="62"/>
        <v>1.023385827</v>
      </c>
      <c r="S72" s="17">
        <f t="shared" si="62"/>
        <v>3.277005685</v>
      </c>
      <c r="T72" s="17">
        <f t="shared" si="62"/>
        <v>2.093925</v>
      </c>
    </row>
    <row r="73">
      <c r="A73" s="11">
        <v>45839.0</v>
      </c>
      <c r="B73" s="12">
        <v>13.0</v>
      </c>
      <c r="C73" s="13">
        <v>60.0</v>
      </c>
      <c r="D73" s="14">
        <v>130.0</v>
      </c>
      <c r="E73" s="14">
        <v>141.0</v>
      </c>
      <c r="F73" s="13">
        <v>41.8</v>
      </c>
      <c r="G73" s="14">
        <v>158.3</v>
      </c>
      <c r="H73" s="14">
        <v>40.0</v>
      </c>
      <c r="I73" s="15">
        <v>60.52074</v>
      </c>
      <c r="J73" s="15">
        <v>120.1916</v>
      </c>
      <c r="K73" s="15">
        <v>139.6791</v>
      </c>
      <c r="L73" s="15">
        <v>38.64238</v>
      </c>
      <c r="M73" s="15">
        <v>153.5938</v>
      </c>
      <c r="N73" s="15">
        <v>41.01823</v>
      </c>
      <c r="O73" s="16">
        <f t="shared" ref="O73:T73" si="63"> ABS(C73-I73)*100/C73</f>
        <v>0.8679</v>
      </c>
      <c r="P73" s="17">
        <f t="shared" si="63"/>
        <v>7.544923077</v>
      </c>
      <c r="Q73" s="17">
        <f t="shared" si="63"/>
        <v>0.9368085106</v>
      </c>
      <c r="R73" s="17">
        <f t="shared" si="63"/>
        <v>7.554114833</v>
      </c>
      <c r="S73" s="17">
        <f t="shared" si="63"/>
        <v>2.972962729</v>
      </c>
      <c r="T73" s="17">
        <f t="shared" si="63"/>
        <v>2.545575</v>
      </c>
    </row>
    <row r="74">
      <c r="A74" s="11">
        <v>45839.0</v>
      </c>
      <c r="B74" s="12">
        <v>14.0</v>
      </c>
      <c r="C74" s="13">
        <v>55.0</v>
      </c>
      <c r="D74" s="14">
        <v>130.0</v>
      </c>
      <c r="E74" s="14">
        <v>141.0</v>
      </c>
      <c r="F74" s="13">
        <v>40.3</v>
      </c>
      <c r="G74" s="14">
        <v>158.3</v>
      </c>
      <c r="H74" s="14">
        <v>40.0</v>
      </c>
      <c r="I74" s="15">
        <v>59.74414</v>
      </c>
      <c r="J74" s="15">
        <v>120.3655</v>
      </c>
      <c r="K74" s="15">
        <v>139.6027</v>
      </c>
      <c r="L74" s="15">
        <v>39.28625</v>
      </c>
      <c r="M74" s="15">
        <v>153.6548</v>
      </c>
      <c r="N74" s="15">
        <v>40.74389</v>
      </c>
      <c r="O74" s="16">
        <f t="shared" ref="O74:T74" si="64"> ABS(C74-I74)*100/C74</f>
        <v>8.625709091</v>
      </c>
      <c r="P74" s="17">
        <f t="shared" si="64"/>
        <v>7.411153846</v>
      </c>
      <c r="Q74" s="17">
        <f t="shared" si="64"/>
        <v>0.9909929078</v>
      </c>
      <c r="R74" s="17">
        <f t="shared" si="64"/>
        <v>2.515508685</v>
      </c>
      <c r="S74" s="17">
        <f t="shared" si="64"/>
        <v>2.934428301</v>
      </c>
      <c r="T74" s="17">
        <f t="shared" si="64"/>
        <v>1.859725</v>
      </c>
    </row>
    <row r="75">
      <c r="A75" s="11">
        <v>45839.0</v>
      </c>
      <c r="B75" s="12">
        <v>15.0</v>
      </c>
      <c r="C75" s="13">
        <v>62.0</v>
      </c>
      <c r="D75" s="14">
        <v>130.0</v>
      </c>
      <c r="E75" s="14">
        <v>141.0</v>
      </c>
      <c r="F75" s="13">
        <v>43.3</v>
      </c>
      <c r="G75" s="14">
        <v>158.3</v>
      </c>
      <c r="H75" s="14">
        <v>40.0</v>
      </c>
      <c r="I75" s="15">
        <v>59.75568</v>
      </c>
      <c r="J75" s="15">
        <v>120.7171</v>
      </c>
      <c r="K75" s="15">
        <v>139.6273</v>
      </c>
      <c r="L75" s="15">
        <v>40.14143</v>
      </c>
      <c r="M75" s="15">
        <v>153.4741</v>
      </c>
      <c r="N75" s="15">
        <v>40.46906</v>
      </c>
      <c r="O75" s="16">
        <f t="shared" ref="O75:T75" si="65"> ABS(C75-I75)*100/C75</f>
        <v>3.619870968</v>
      </c>
      <c r="P75" s="17">
        <f t="shared" si="65"/>
        <v>7.140692308</v>
      </c>
      <c r="Q75" s="17">
        <f t="shared" si="65"/>
        <v>0.9735460993</v>
      </c>
      <c r="R75" s="17">
        <f t="shared" si="65"/>
        <v>7.294618938</v>
      </c>
      <c r="S75" s="17">
        <f t="shared" si="65"/>
        <v>3.048578648</v>
      </c>
      <c r="T75" s="17">
        <f t="shared" si="65"/>
        <v>1.17265</v>
      </c>
    </row>
    <row r="76">
      <c r="A76" s="11">
        <v>45839.0</v>
      </c>
      <c r="B76" s="12">
        <v>16.0</v>
      </c>
      <c r="C76" s="13">
        <v>57.0</v>
      </c>
      <c r="D76" s="14">
        <v>130.0</v>
      </c>
      <c r="E76" s="14">
        <v>138.0</v>
      </c>
      <c r="F76" s="13">
        <v>40.7</v>
      </c>
      <c r="G76" s="14">
        <v>158.3</v>
      </c>
      <c r="H76" s="14">
        <v>40.0</v>
      </c>
      <c r="I76" s="15">
        <v>59.77588</v>
      </c>
      <c r="J76" s="15">
        <v>120.579</v>
      </c>
      <c r="K76" s="15">
        <v>139.0702</v>
      </c>
      <c r="L76" s="15">
        <v>40.34286</v>
      </c>
      <c r="M76" s="15">
        <v>152.5993</v>
      </c>
      <c r="N76" s="15">
        <v>40.40622</v>
      </c>
      <c r="O76" s="16">
        <f t="shared" ref="O76:T76" si="66"> ABS(C76-I76)*100/C76</f>
        <v>4.869964912</v>
      </c>
      <c r="P76" s="17">
        <f t="shared" si="66"/>
        <v>7.246923077</v>
      </c>
      <c r="Q76" s="17">
        <f t="shared" si="66"/>
        <v>0.7755072464</v>
      </c>
      <c r="R76" s="17">
        <f t="shared" si="66"/>
        <v>0.8774938575</v>
      </c>
      <c r="S76" s="17">
        <f t="shared" si="66"/>
        <v>3.601200253</v>
      </c>
      <c r="T76" s="17">
        <f t="shared" si="66"/>
        <v>1.01555</v>
      </c>
    </row>
    <row r="77">
      <c r="A77" s="11">
        <v>45839.0</v>
      </c>
      <c r="B77" s="12">
        <v>17.0</v>
      </c>
      <c r="C77" s="13">
        <v>55.0</v>
      </c>
      <c r="D77" s="14">
        <v>130.0</v>
      </c>
      <c r="E77" s="14">
        <v>138.0</v>
      </c>
      <c r="F77" s="13">
        <v>38.4</v>
      </c>
      <c r="G77" s="14">
        <v>158.3</v>
      </c>
      <c r="H77" s="14">
        <v>36.0</v>
      </c>
      <c r="I77" s="15">
        <v>60.19885</v>
      </c>
      <c r="J77" s="15">
        <v>120.9601</v>
      </c>
      <c r="K77" s="15">
        <v>139.7297</v>
      </c>
      <c r="L77" s="15">
        <v>39.99629</v>
      </c>
      <c r="M77" s="15">
        <v>150.5661</v>
      </c>
      <c r="N77" s="15">
        <v>40.65959</v>
      </c>
      <c r="O77" s="16">
        <f t="shared" ref="O77:T77" si="67"> ABS(C77-I77)*100/C77</f>
        <v>9.452454545</v>
      </c>
      <c r="P77" s="17">
        <f t="shared" si="67"/>
        <v>6.953769231</v>
      </c>
      <c r="Q77" s="17">
        <f t="shared" si="67"/>
        <v>1.253405797</v>
      </c>
      <c r="R77" s="17">
        <f t="shared" si="67"/>
        <v>4.157005208</v>
      </c>
      <c r="S77" s="17">
        <f t="shared" si="67"/>
        <v>4.885596968</v>
      </c>
      <c r="T77" s="17">
        <f t="shared" si="67"/>
        <v>12.94330556</v>
      </c>
    </row>
    <row r="78">
      <c r="A78" s="11">
        <v>45839.0</v>
      </c>
      <c r="B78" s="12">
        <v>18.0</v>
      </c>
      <c r="C78" s="13">
        <v>63.0</v>
      </c>
      <c r="D78" s="14">
        <v>130.0</v>
      </c>
      <c r="E78" s="14">
        <v>138.0</v>
      </c>
      <c r="F78" s="13">
        <v>43.1</v>
      </c>
      <c r="G78" s="14">
        <v>158.3</v>
      </c>
      <c r="H78" s="14">
        <v>36.0</v>
      </c>
      <c r="I78" s="15">
        <v>60.15135</v>
      </c>
      <c r="J78" s="15">
        <v>120.0913</v>
      </c>
      <c r="K78" s="15">
        <v>139.9456</v>
      </c>
      <c r="L78" s="15">
        <v>40.14161</v>
      </c>
      <c r="M78" s="15">
        <v>150.7299</v>
      </c>
      <c r="N78" s="15">
        <v>40.97264</v>
      </c>
      <c r="O78" s="16">
        <f t="shared" ref="O78:T78" si="68"> ABS(C78-I78)*100/C78</f>
        <v>4.521666667</v>
      </c>
      <c r="P78" s="17">
        <f t="shared" si="68"/>
        <v>7.622076923</v>
      </c>
      <c r="Q78" s="17">
        <f t="shared" si="68"/>
        <v>1.409855072</v>
      </c>
      <c r="R78" s="17">
        <f t="shared" si="68"/>
        <v>6.864013921</v>
      </c>
      <c r="S78" s="17">
        <f t="shared" si="68"/>
        <v>4.782122552</v>
      </c>
      <c r="T78" s="17">
        <f t="shared" si="68"/>
        <v>13.81288889</v>
      </c>
    </row>
    <row r="79">
      <c r="A79" s="11">
        <v>45839.0</v>
      </c>
      <c r="B79" s="12">
        <v>19.0</v>
      </c>
      <c r="C79" s="13">
        <v>62.0</v>
      </c>
      <c r="D79" s="14">
        <v>130.0</v>
      </c>
      <c r="E79" s="14">
        <v>138.0</v>
      </c>
      <c r="F79" s="13">
        <v>44.6</v>
      </c>
      <c r="G79" s="14">
        <v>158.3</v>
      </c>
      <c r="H79" s="14">
        <v>40.0</v>
      </c>
      <c r="I79" s="15">
        <v>59.86827</v>
      </c>
      <c r="J79" s="15">
        <v>120.2066</v>
      </c>
      <c r="K79" s="15">
        <v>138.455</v>
      </c>
      <c r="L79" s="15">
        <v>40.21917</v>
      </c>
      <c r="M79" s="15">
        <v>151.11</v>
      </c>
      <c r="N79" s="15">
        <v>41.03017</v>
      </c>
      <c r="O79" s="16">
        <f t="shared" ref="O79:T79" si="69"> ABS(C79-I79)*100/C79</f>
        <v>3.438274194</v>
      </c>
      <c r="P79" s="17">
        <f t="shared" si="69"/>
        <v>7.533384615</v>
      </c>
      <c r="Q79" s="17">
        <f t="shared" si="69"/>
        <v>0.3297101449</v>
      </c>
      <c r="R79" s="17">
        <f t="shared" si="69"/>
        <v>9.822488789</v>
      </c>
      <c r="S79" s="17">
        <f t="shared" si="69"/>
        <v>4.542008844</v>
      </c>
      <c r="T79" s="17">
        <f t="shared" si="69"/>
        <v>2.575425</v>
      </c>
    </row>
    <row r="80">
      <c r="A80" s="11">
        <v>45839.0</v>
      </c>
      <c r="B80" s="12">
        <v>20.0</v>
      </c>
      <c r="C80" s="13">
        <v>62.0</v>
      </c>
      <c r="D80" s="14">
        <v>130.0</v>
      </c>
      <c r="E80" s="14">
        <v>138.0</v>
      </c>
      <c r="F80" s="13">
        <v>43.0</v>
      </c>
      <c r="G80" s="14">
        <v>158.3</v>
      </c>
      <c r="H80" s="14">
        <v>40.0</v>
      </c>
      <c r="I80" s="15">
        <v>59.92625</v>
      </c>
      <c r="J80" s="15">
        <v>119.9605</v>
      </c>
      <c r="K80" s="15">
        <v>140.6941</v>
      </c>
      <c r="L80" s="15">
        <v>40.36494</v>
      </c>
      <c r="M80" s="15">
        <v>151.4183</v>
      </c>
      <c r="N80" s="15">
        <v>40.79162</v>
      </c>
      <c r="O80" s="16">
        <f t="shared" ref="O80:T80" si="70"> ABS(C80-I80)*100/C80</f>
        <v>3.344758065</v>
      </c>
      <c r="P80" s="17">
        <f t="shared" si="70"/>
        <v>7.722692308</v>
      </c>
      <c r="Q80" s="17">
        <f t="shared" si="70"/>
        <v>1.952246377</v>
      </c>
      <c r="R80" s="17">
        <f t="shared" si="70"/>
        <v>6.128046512</v>
      </c>
      <c r="S80" s="17">
        <f t="shared" si="70"/>
        <v>4.347252053</v>
      </c>
      <c r="T80" s="17">
        <f t="shared" si="70"/>
        <v>1.97905</v>
      </c>
    </row>
    <row r="81">
      <c r="A81" s="11">
        <v>45839.0</v>
      </c>
      <c r="B81" s="12">
        <v>21.0</v>
      </c>
      <c r="C81" s="13">
        <v>55.0</v>
      </c>
      <c r="D81" s="14">
        <v>130.0</v>
      </c>
      <c r="E81" s="14">
        <v>138.0</v>
      </c>
      <c r="F81" s="13">
        <v>38.0</v>
      </c>
      <c r="G81" s="14">
        <v>158.3</v>
      </c>
      <c r="H81" s="14">
        <v>40.0</v>
      </c>
      <c r="I81" s="15">
        <v>59.75163</v>
      </c>
      <c r="J81" s="15">
        <v>120.1721</v>
      </c>
      <c r="K81" s="15">
        <v>141.0998</v>
      </c>
      <c r="L81" s="15">
        <v>40.35818</v>
      </c>
      <c r="M81" s="15">
        <v>151.324</v>
      </c>
      <c r="N81" s="15">
        <v>40.95489</v>
      </c>
      <c r="O81" s="16">
        <f t="shared" ref="O81:T81" si="71"> ABS(C81-I81)*100/C81</f>
        <v>8.639327273</v>
      </c>
      <c r="P81" s="17">
        <f t="shared" si="71"/>
        <v>7.559923077</v>
      </c>
      <c r="Q81" s="17">
        <f t="shared" si="71"/>
        <v>2.246231884</v>
      </c>
      <c r="R81" s="17">
        <f t="shared" si="71"/>
        <v>6.205736842</v>
      </c>
      <c r="S81" s="17">
        <f t="shared" si="71"/>
        <v>4.406822489</v>
      </c>
      <c r="T81" s="17">
        <f t="shared" si="71"/>
        <v>2.387225</v>
      </c>
    </row>
    <row r="82">
      <c r="A82" s="11">
        <v>45839.0</v>
      </c>
      <c r="B82" s="12">
        <v>22.0</v>
      </c>
      <c r="C82" s="13">
        <v>63.0</v>
      </c>
      <c r="D82" s="14">
        <v>130.0</v>
      </c>
      <c r="E82" s="14">
        <v>138.0</v>
      </c>
      <c r="F82" s="13">
        <v>47.2</v>
      </c>
      <c r="G82" s="14">
        <v>158.3</v>
      </c>
      <c r="H82" s="14">
        <v>40.0</v>
      </c>
      <c r="I82" s="15">
        <v>60.19559</v>
      </c>
      <c r="J82" s="15">
        <v>120.4431</v>
      </c>
      <c r="K82" s="15">
        <v>140.903</v>
      </c>
      <c r="L82" s="15">
        <v>40.89465</v>
      </c>
      <c r="M82" s="15">
        <v>150.9055</v>
      </c>
      <c r="N82" s="15">
        <v>40.66968</v>
      </c>
      <c r="O82" s="16">
        <f t="shared" ref="O82:T82" si="72"> ABS(C82-I82)*100/C82</f>
        <v>4.451444444</v>
      </c>
      <c r="P82" s="17">
        <f t="shared" si="72"/>
        <v>7.351461538</v>
      </c>
      <c r="Q82" s="17">
        <f t="shared" si="72"/>
        <v>2.103623188</v>
      </c>
      <c r="R82" s="17">
        <f t="shared" si="72"/>
        <v>13.35879237</v>
      </c>
      <c r="S82" s="17">
        <f t="shared" si="72"/>
        <v>4.671193936</v>
      </c>
      <c r="T82" s="17">
        <f t="shared" si="72"/>
        <v>1.6742</v>
      </c>
    </row>
    <row r="83">
      <c r="A83" s="11">
        <v>45839.0</v>
      </c>
      <c r="B83" s="12">
        <v>23.0</v>
      </c>
      <c r="C83" s="13">
        <v>56.0</v>
      </c>
      <c r="D83" s="14">
        <v>130.0</v>
      </c>
      <c r="E83" s="14">
        <v>138.0</v>
      </c>
      <c r="F83" s="13">
        <v>47.1</v>
      </c>
      <c r="G83" s="14">
        <v>158.3</v>
      </c>
      <c r="H83" s="14">
        <v>40.0</v>
      </c>
      <c r="I83" s="15">
        <v>60.71447</v>
      </c>
      <c r="J83" s="15">
        <v>120.4429</v>
      </c>
      <c r="K83" s="15">
        <v>140.3258</v>
      </c>
      <c r="L83" s="15">
        <v>40.69515</v>
      </c>
      <c r="M83" s="15">
        <v>151.1555</v>
      </c>
      <c r="N83" s="15">
        <v>40.4153</v>
      </c>
      <c r="O83" s="16">
        <f t="shared" ref="O83:T83" si="73"> ABS(C83-I83)*100/C83</f>
        <v>8.418696429</v>
      </c>
      <c r="P83" s="17">
        <f t="shared" si="73"/>
        <v>7.351615385</v>
      </c>
      <c r="Q83" s="17">
        <f t="shared" si="73"/>
        <v>1.685362319</v>
      </c>
      <c r="R83" s="17">
        <f t="shared" si="73"/>
        <v>13.59840764</v>
      </c>
      <c r="S83" s="17">
        <f t="shared" si="73"/>
        <v>4.513265951</v>
      </c>
      <c r="T83" s="17">
        <f t="shared" si="73"/>
        <v>1.03825</v>
      </c>
    </row>
    <row r="84">
      <c r="A84" s="11">
        <v>45839.0</v>
      </c>
      <c r="B84" s="12">
        <v>24.0</v>
      </c>
      <c r="C84" s="13">
        <v>64.0</v>
      </c>
      <c r="D84" s="14">
        <v>130.0</v>
      </c>
      <c r="E84" s="14">
        <v>138.0</v>
      </c>
      <c r="F84" s="13">
        <v>47.2</v>
      </c>
      <c r="G84" s="14">
        <v>158.3</v>
      </c>
      <c r="H84" s="14">
        <v>40.0</v>
      </c>
      <c r="I84" s="15">
        <v>60.73952</v>
      </c>
      <c r="J84" s="15">
        <v>120.5646</v>
      </c>
      <c r="K84" s="15">
        <v>140.2969</v>
      </c>
      <c r="L84" s="15">
        <v>40.18217</v>
      </c>
      <c r="M84" s="15">
        <v>151.5377</v>
      </c>
      <c r="N84" s="15">
        <v>40.63644</v>
      </c>
      <c r="O84" s="16">
        <f t="shared" ref="O84:T84" si="74"> ABS(C84-I84)*100/C84</f>
        <v>5.0945</v>
      </c>
      <c r="P84" s="17">
        <f t="shared" si="74"/>
        <v>7.258</v>
      </c>
      <c r="Q84" s="17">
        <f t="shared" si="74"/>
        <v>1.66442029</v>
      </c>
      <c r="R84" s="17">
        <f t="shared" si="74"/>
        <v>14.8682839</v>
      </c>
      <c r="S84" s="17">
        <f t="shared" si="74"/>
        <v>4.271825648</v>
      </c>
      <c r="T84" s="17">
        <f t="shared" si="74"/>
        <v>1.5911</v>
      </c>
    </row>
    <row r="85">
      <c r="N85" s="18" t="s">
        <v>23</v>
      </c>
      <c r="O85" s="19">
        <f t="shared" ref="O85:T85" si="75">AVERAGE(O61:O84)</f>
        <v>4.500440612</v>
      </c>
      <c r="P85" s="19">
        <f t="shared" si="75"/>
        <v>5.958967949</v>
      </c>
      <c r="Q85" s="19">
        <f t="shared" si="75"/>
        <v>1.177919943</v>
      </c>
      <c r="R85" s="19">
        <f t="shared" si="75"/>
        <v>9.844979571</v>
      </c>
      <c r="S85" s="19">
        <f t="shared" si="75"/>
        <v>5.10403506</v>
      </c>
      <c r="T85" s="19">
        <f t="shared" si="75"/>
        <v>4.532512174</v>
      </c>
    </row>
    <row r="92">
      <c r="A92" s="1"/>
      <c r="B92" s="1"/>
      <c r="C92" s="2" t="s">
        <v>0</v>
      </c>
      <c r="D92" s="3"/>
      <c r="E92" s="3"/>
      <c r="F92" s="3"/>
      <c r="G92" s="3"/>
      <c r="H92" s="4"/>
      <c r="I92" s="5" t="s">
        <v>33</v>
      </c>
      <c r="J92" s="3"/>
      <c r="K92" s="3"/>
      <c r="L92" s="3"/>
      <c r="M92" s="3"/>
      <c r="N92" s="4"/>
      <c r="O92" s="6" t="s">
        <v>2</v>
      </c>
      <c r="P92" s="3"/>
      <c r="Q92" s="3"/>
      <c r="R92" s="3"/>
      <c r="S92" s="3"/>
      <c r="T92" s="4"/>
    </row>
    <row r="93">
      <c r="A93" s="7" t="s">
        <v>3</v>
      </c>
      <c r="B93" s="7" t="s">
        <v>4</v>
      </c>
      <c r="C93" s="8" t="s">
        <v>5</v>
      </c>
      <c r="D93" s="8" t="s">
        <v>6</v>
      </c>
      <c r="E93" s="8" t="s">
        <v>7</v>
      </c>
      <c r="F93" s="8" t="s">
        <v>8</v>
      </c>
      <c r="G93" s="8" t="s">
        <v>9</v>
      </c>
      <c r="H93" s="8" t="s">
        <v>10</v>
      </c>
      <c r="I93" s="9" t="s">
        <v>11</v>
      </c>
      <c r="J93" s="9" t="s">
        <v>12</v>
      </c>
      <c r="K93" s="9" t="s">
        <v>13</v>
      </c>
      <c r="L93" s="9" t="s">
        <v>14</v>
      </c>
      <c r="M93" s="9" t="s">
        <v>15</v>
      </c>
      <c r="N93" s="9" t="s">
        <v>16</v>
      </c>
      <c r="O93" s="10" t="s">
        <v>17</v>
      </c>
      <c r="P93" s="10" t="s">
        <v>18</v>
      </c>
      <c r="Q93" s="10" t="s">
        <v>19</v>
      </c>
      <c r="R93" s="10" t="s">
        <v>20</v>
      </c>
      <c r="S93" s="10" t="s">
        <v>21</v>
      </c>
      <c r="T93" s="10" t="s">
        <v>22</v>
      </c>
    </row>
    <row r="94">
      <c r="A94" s="11">
        <v>45839.0</v>
      </c>
      <c r="B94" s="12">
        <v>1.0</v>
      </c>
      <c r="C94" s="13">
        <v>60.0</v>
      </c>
      <c r="D94" s="14">
        <v>130.0</v>
      </c>
      <c r="E94" s="14">
        <v>141.0</v>
      </c>
      <c r="F94" s="13">
        <v>46.0</v>
      </c>
      <c r="G94" s="14">
        <v>158.3</v>
      </c>
      <c r="H94" s="14">
        <v>44.0</v>
      </c>
      <c r="I94" s="15">
        <v>61.01612</v>
      </c>
      <c r="J94" s="15">
        <v>130.133</v>
      </c>
      <c r="K94" s="15">
        <v>138.6646</v>
      </c>
      <c r="L94" s="15">
        <v>41.34769</v>
      </c>
      <c r="M94" s="15">
        <v>155.9861</v>
      </c>
      <c r="N94" s="15">
        <v>43.41171</v>
      </c>
      <c r="O94" s="16">
        <f t="shared" ref="O94:T94" si="76"> ABS(C94-I94)*100/C94</f>
        <v>1.693533333</v>
      </c>
      <c r="P94" s="17">
        <f t="shared" si="76"/>
        <v>0.1023076923</v>
      </c>
      <c r="Q94" s="17">
        <f t="shared" si="76"/>
        <v>1.656312057</v>
      </c>
      <c r="R94" s="17">
        <f t="shared" si="76"/>
        <v>10.11371739</v>
      </c>
      <c r="S94" s="17">
        <f t="shared" si="76"/>
        <v>1.461718256</v>
      </c>
      <c r="T94" s="17">
        <f t="shared" si="76"/>
        <v>1.337022727</v>
      </c>
    </row>
    <row r="95">
      <c r="A95" s="11">
        <v>45839.0</v>
      </c>
      <c r="B95" s="12">
        <v>2.0</v>
      </c>
      <c r="C95" s="13">
        <v>63.0</v>
      </c>
      <c r="D95" s="14">
        <v>130.0</v>
      </c>
      <c r="E95" s="14">
        <v>141.0</v>
      </c>
      <c r="F95" s="13">
        <v>45.8</v>
      </c>
      <c r="G95" s="14">
        <v>158.3</v>
      </c>
      <c r="H95" s="14">
        <v>44.0</v>
      </c>
      <c r="I95" s="15">
        <v>61.0945</v>
      </c>
      <c r="J95" s="15">
        <v>130.4818</v>
      </c>
      <c r="K95" s="15">
        <v>138.1049</v>
      </c>
      <c r="L95" s="15">
        <v>42.06378</v>
      </c>
      <c r="M95" s="15">
        <v>151.7204</v>
      </c>
      <c r="N95" s="15">
        <v>41.86996</v>
      </c>
      <c r="O95" s="16">
        <f t="shared" ref="O95:T95" si="77"> ABS(C95-I95)*100/C95</f>
        <v>3.024603175</v>
      </c>
      <c r="P95" s="17">
        <f t="shared" si="77"/>
        <v>0.3706153846</v>
      </c>
      <c r="Q95" s="17">
        <f t="shared" si="77"/>
        <v>2.053262411</v>
      </c>
      <c r="R95" s="17">
        <f t="shared" si="77"/>
        <v>8.15768559</v>
      </c>
      <c r="S95" s="17">
        <f t="shared" si="77"/>
        <v>4.156411876</v>
      </c>
      <c r="T95" s="17">
        <f t="shared" si="77"/>
        <v>4.841</v>
      </c>
    </row>
    <row r="96">
      <c r="A96" s="11">
        <v>45839.0</v>
      </c>
      <c r="B96" s="12">
        <v>3.0</v>
      </c>
      <c r="C96" s="13">
        <v>64.0</v>
      </c>
      <c r="D96" s="14">
        <v>130.0</v>
      </c>
      <c r="E96" s="14">
        <v>141.0</v>
      </c>
      <c r="F96" s="13">
        <v>46.2</v>
      </c>
      <c r="G96" s="14">
        <v>158.3</v>
      </c>
      <c r="H96" s="14">
        <v>44.0</v>
      </c>
      <c r="I96" s="15">
        <v>61.18302</v>
      </c>
      <c r="J96" s="15">
        <v>130.7383</v>
      </c>
      <c r="K96" s="15">
        <v>138.0633</v>
      </c>
      <c r="L96" s="15">
        <v>41.57156</v>
      </c>
      <c r="M96" s="15">
        <v>141.7859</v>
      </c>
      <c r="N96" s="15">
        <v>41.44954</v>
      </c>
      <c r="O96" s="16">
        <f t="shared" ref="O96:T96" si="78"> ABS(C96-I96)*100/C96</f>
        <v>4.40153125</v>
      </c>
      <c r="P96" s="17">
        <f t="shared" si="78"/>
        <v>0.5679230769</v>
      </c>
      <c r="Q96" s="17">
        <f t="shared" si="78"/>
        <v>2.082765957</v>
      </c>
      <c r="R96" s="17">
        <f t="shared" si="78"/>
        <v>10.0182684</v>
      </c>
      <c r="S96" s="17">
        <f t="shared" si="78"/>
        <v>10.43215414</v>
      </c>
      <c r="T96" s="17">
        <f t="shared" si="78"/>
        <v>5.7965</v>
      </c>
    </row>
    <row r="97">
      <c r="A97" s="11">
        <v>45839.0</v>
      </c>
      <c r="B97" s="12">
        <v>4.0</v>
      </c>
      <c r="C97" s="13">
        <v>63.0</v>
      </c>
      <c r="D97" s="14">
        <v>130.0</v>
      </c>
      <c r="E97" s="14">
        <v>141.0</v>
      </c>
      <c r="F97" s="13">
        <v>45.8</v>
      </c>
      <c r="G97" s="14">
        <v>158.3</v>
      </c>
      <c r="H97" s="14">
        <v>44.0</v>
      </c>
      <c r="I97" s="15">
        <v>60.98512</v>
      </c>
      <c r="J97" s="15">
        <v>130.7053</v>
      </c>
      <c r="K97" s="15">
        <v>137.764</v>
      </c>
      <c r="L97" s="15">
        <v>40.75282</v>
      </c>
      <c r="M97" s="15">
        <v>140.8255</v>
      </c>
      <c r="N97" s="15">
        <v>41.67935</v>
      </c>
      <c r="O97" s="16">
        <f t="shared" ref="O97:T97" si="79"> ABS(C97-I97)*100/C97</f>
        <v>3.198222222</v>
      </c>
      <c r="P97" s="17">
        <f t="shared" si="79"/>
        <v>0.5425384615</v>
      </c>
      <c r="Q97" s="17">
        <f t="shared" si="79"/>
        <v>2.295035461</v>
      </c>
      <c r="R97" s="17">
        <f t="shared" si="79"/>
        <v>11.02004367</v>
      </c>
      <c r="S97" s="17">
        <f t="shared" si="79"/>
        <v>11.03885028</v>
      </c>
      <c r="T97" s="17">
        <f t="shared" si="79"/>
        <v>5.274204545</v>
      </c>
    </row>
    <row r="98">
      <c r="A98" s="11">
        <v>45839.0</v>
      </c>
      <c r="B98" s="12">
        <v>5.0</v>
      </c>
      <c r="C98" s="13">
        <v>64.0</v>
      </c>
      <c r="D98" s="14">
        <v>130.0</v>
      </c>
      <c r="E98" s="14">
        <v>141.0</v>
      </c>
      <c r="F98" s="13">
        <v>45.8</v>
      </c>
      <c r="G98" s="14">
        <v>158.3</v>
      </c>
      <c r="H98" s="14">
        <v>44.0</v>
      </c>
      <c r="I98" s="15">
        <v>60.17876</v>
      </c>
      <c r="J98" s="15">
        <v>130.6219</v>
      </c>
      <c r="K98" s="15">
        <v>136.7689</v>
      </c>
      <c r="L98" s="15">
        <v>40.78854</v>
      </c>
      <c r="M98" s="15">
        <v>142.0993</v>
      </c>
      <c r="N98" s="15">
        <v>41.71017</v>
      </c>
      <c r="O98" s="16">
        <f t="shared" ref="O98:T98" si="80"> ABS(C98-I98)*100/C98</f>
        <v>5.9706875</v>
      </c>
      <c r="P98" s="17">
        <f t="shared" si="80"/>
        <v>0.4783846154</v>
      </c>
      <c r="Q98" s="17">
        <f t="shared" si="80"/>
        <v>3.000780142</v>
      </c>
      <c r="R98" s="17">
        <f t="shared" si="80"/>
        <v>10.9420524</v>
      </c>
      <c r="S98" s="17">
        <f t="shared" si="80"/>
        <v>10.23417562</v>
      </c>
      <c r="T98" s="17">
        <f t="shared" si="80"/>
        <v>5.204159091</v>
      </c>
    </row>
    <row r="99">
      <c r="A99" s="11">
        <v>45839.0</v>
      </c>
      <c r="B99" s="12">
        <v>6.0</v>
      </c>
      <c r="C99" s="13">
        <v>61.0</v>
      </c>
      <c r="D99" s="14">
        <v>130.0</v>
      </c>
      <c r="E99" s="14">
        <v>141.0</v>
      </c>
      <c r="F99" s="13">
        <v>45.7</v>
      </c>
      <c r="G99" s="14">
        <v>158.3</v>
      </c>
      <c r="H99" s="14">
        <v>44.0</v>
      </c>
      <c r="I99" s="15">
        <v>60.24533</v>
      </c>
      <c r="J99" s="15">
        <v>130.8056</v>
      </c>
      <c r="K99" s="15">
        <v>132.5067</v>
      </c>
      <c r="L99" s="15">
        <v>41.42261</v>
      </c>
      <c r="M99" s="15">
        <v>142.1147</v>
      </c>
      <c r="N99" s="15">
        <v>41.76372</v>
      </c>
      <c r="O99" s="16">
        <f t="shared" ref="O99:T99" si="81"> ABS(C99-I99)*100/C99</f>
        <v>1.237163934</v>
      </c>
      <c r="P99" s="17">
        <f t="shared" si="81"/>
        <v>0.6196923077</v>
      </c>
      <c r="Q99" s="17">
        <f t="shared" si="81"/>
        <v>6.023617021</v>
      </c>
      <c r="R99" s="17">
        <f t="shared" si="81"/>
        <v>9.359715536</v>
      </c>
      <c r="S99" s="17">
        <f t="shared" si="81"/>
        <v>10.22444725</v>
      </c>
      <c r="T99" s="17">
        <f t="shared" si="81"/>
        <v>5.082454545</v>
      </c>
    </row>
    <row r="100">
      <c r="A100" s="11">
        <v>45839.0</v>
      </c>
      <c r="B100" s="12">
        <v>7.0</v>
      </c>
      <c r="C100" s="13">
        <v>59.0</v>
      </c>
      <c r="D100" s="14">
        <v>130.0</v>
      </c>
      <c r="E100" s="14">
        <v>141.0</v>
      </c>
      <c r="F100" s="13">
        <v>46.4</v>
      </c>
      <c r="G100" s="14">
        <v>158.3</v>
      </c>
      <c r="H100" s="14">
        <v>44.0</v>
      </c>
      <c r="I100" s="15">
        <v>60.30845</v>
      </c>
      <c r="J100" s="15">
        <v>130.2396</v>
      </c>
      <c r="K100" s="15">
        <v>129.2465</v>
      </c>
      <c r="L100" s="15">
        <v>40.83646</v>
      </c>
      <c r="M100" s="15">
        <v>142.0199</v>
      </c>
      <c r="N100" s="15">
        <v>41.68796</v>
      </c>
      <c r="O100" s="16">
        <f t="shared" ref="O100:T100" si="82"> ABS(C100-I100)*100/C100</f>
        <v>2.217711864</v>
      </c>
      <c r="P100" s="17">
        <f t="shared" si="82"/>
        <v>0.1843076923</v>
      </c>
      <c r="Q100" s="17">
        <f t="shared" si="82"/>
        <v>8.335815603</v>
      </c>
      <c r="R100" s="17">
        <f t="shared" si="82"/>
        <v>11.99038793</v>
      </c>
      <c r="S100" s="17">
        <f t="shared" si="82"/>
        <v>10.28433354</v>
      </c>
      <c r="T100" s="17">
        <f t="shared" si="82"/>
        <v>5.254636364</v>
      </c>
    </row>
    <row r="101">
      <c r="A101" s="11">
        <v>45839.0</v>
      </c>
      <c r="B101" s="12">
        <v>8.0</v>
      </c>
      <c r="C101" s="13">
        <v>58.0</v>
      </c>
      <c r="D101" s="14">
        <v>130.0</v>
      </c>
      <c r="E101" s="14">
        <v>141.0</v>
      </c>
      <c r="F101" s="13">
        <v>45.9</v>
      </c>
      <c r="G101" s="14">
        <v>158.3</v>
      </c>
      <c r="H101" s="14">
        <v>40.0</v>
      </c>
      <c r="I101" s="15">
        <v>60.24232</v>
      </c>
      <c r="J101" s="15">
        <v>130.7456</v>
      </c>
      <c r="K101" s="15">
        <v>128.1895</v>
      </c>
      <c r="L101" s="15">
        <v>40.9229</v>
      </c>
      <c r="M101" s="15">
        <v>141.8373</v>
      </c>
      <c r="N101" s="15">
        <v>41.21843</v>
      </c>
      <c r="O101" s="16">
        <f t="shared" ref="O101:T101" si="83"> ABS(C101-I101)*100/C101</f>
        <v>3.866068966</v>
      </c>
      <c r="P101" s="17">
        <f t="shared" si="83"/>
        <v>0.5735384615</v>
      </c>
      <c r="Q101" s="17">
        <f t="shared" si="83"/>
        <v>9.085460993</v>
      </c>
      <c r="R101" s="17">
        <f t="shared" si="83"/>
        <v>10.84335512</v>
      </c>
      <c r="S101" s="17">
        <f t="shared" si="83"/>
        <v>10.39968414</v>
      </c>
      <c r="T101" s="17">
        <f t="shared" si="83"/>
        <v>3.046075</v>
      </c>
    </row>
    <row r="102">
      <c r="A102" s="11">
        <v>45839.0</v>
      </c>
      <c r="B102" s="12">
        <v>9.0</v>
      </c>
      <c r="C102" s="13">
        <v>62.0</v>
      </c>
      <c r="D102" s="14">
        <v>130.0</v>
      </c>
      <c r="E102" s="14">
        <v>141.0</v>
      </c>
      <c r="F102" s="13">
        <v>42.9</v>
      </c>
      <c r="G102" s="14">
        <v>158.3</v>
      </c>
      <c r="H102" s="14">
        <v>40.0</v>
      </c>
      <c r="I102" s="15">
        <v>60.10611</v>
      </c>
      <c r="J102" s="15">
        <v>130.808</v>
      </c>
      <c r="K102" s="15">
        <v>127.8237</v>
      </c>
      <c r="L102" s="15">
        <v>41.34179</v>
      </c>
      <c r="M102" s="15">
        <v>141.6988</v>
      </c>
      <c r="N102" s="15">
        <v>40.80121</v>
      </c>
      <c r="O102" s="16">
        <f t="shared" ref="O102:T102" si="84"> ABS(C102-I102)*100/C102</f>
        <v>3.05466129</v>
      </c>
      <c r="P102" s="17">
        <f t="shared" si="84"/>
        <v>0.6215384615</v>
      </c>
      <c r="Q102" s="17">
        <f t="shared" si="84"/>
        <v>9.344893617</v>
      </c>
      <c r="R102" s="17">
        <f t="shared" si="84"/>
        <v>3.632191142</v>
      </c>
      <c r="S102" s="17">
        <f t="shared" si="84"/>
        <v>10.48717625</v>
      </c>
      <c r="T102" s="17">
        <f t="shared" si="84"/>
        <v>2.003025</v>
      </c>
    </row>
    <row r="103">
      <c r="A103" s="11">
        <v>45839.0</v>
      </c>
      <c r="B103" s="12">
        <v>10.0</v>
      </c>
      <c r="C103" s="13">
        <v>57.0</v>
      </c>
      <c r="D103" s="14">
        <v>130.0</v>
      </c>
      <c r="E103" s="14">
        <v>141.0</v>
      </c>
      <c r="F103" s="13">
        <v>39.4</v>
      </c>
      <c r="G103" s="14">
        <v>158.3</v>
      </c>
      <c r="H103" s="14">
        <v>40.0</v>
      </c>
      <c r="I103" s="15">
        <v>60.1337</v>
      </c>
      <c r="J103" s="15">
        <v>130.9205</v>
      </c>
      <c r="K103" s="15">
        <v>127.4738</v>
      </c>
      <c r="L103" s="15">
        <v>41.34122</v>
      </c>
      <c r="M103" s="15">
        <v>142.1112</v>
      </c>
      <c r="N103" s="15">
        <v>41.27319</v>
      </c>
      <c r="O103" s="16">
        <f t="shared" ref="O103:T103" si="85"> ABS(C103-I103)*100/C103</f>
        <v>5.497719298</v>
      </c>
      <c r="P103" s="17">
        <f t="shared" si="85"/>
        <v>0.7080769231</v>
      </c>
      <c r="Q103" s="17">
        <f t="shared" si="85"/>
        <v>9.593049645</v>
      </c>
      <c r="R103" s="17">
        <f t="shared" si="85"/>
        <v>4.926954315</v>
      </c>
      <c r="S103" s="17">
        <f t="shared" si="85"/>
        <v>10.22665824</v>
      </c>
      <c r="T103" s="17">
        <f t="shared" si="85"/>
        <v>3.182975</v>
      </c>
    </row>
    <row r="104">
      <c r="A104" s="11">
        <v>45839.0</v>
      </c>
      <c r="B104" s="12">
        <v>11.0</v>
      </c>
      <c r="C104" s="13">
        <v>61.0</v>
      </c>
      <c r="D104" s="14">
        <v>130.0</v>
      </c>
      <c r="E104" s="14">
        <v>141.0</v>
      </c>
      <c r="F104" s="13">
        <v>42.7</v>
      </c>
      <c r="G104" s="14">
        <v>158.3</v>
      </c>
      <c r="H104" s="14">
        <v>40.0</v>
      </c>
      <c r="I104" s="15">
        <v>60.28254</v>
      </c>
      <c r="J104" s="15">
        <v>130.9211</v>
      </c>
      <c r="K104" s="15">
        <v>128.7699</v>
      </c>
      <c r="L104" s="15">
        <v>41.14718</v>
      </c>
      <c r="M104" s="15">
        <v>142.5479</v>
      </c>
      <c r="N104" s="15">
        <v>41.33217</v>
      </c>
      <c r="O104" s="16">
        <f t="shared" ref="O104:T104" si="86"> ABS(C104-I104)*100/C104</f>
        <v>1.176163934</v>
      </c>
      <c r="P104" s="17">
        <f t="shared" si="86"/>
        <v>0.7085384615</v>
      </c>
      <c r="Q104" s="17">
        <f t="shared" si="86"/>
        <v>8.673829787</v>
      </c>
      <c r="R104" s="17">
        <f t="shared" si="86"/>
        <v>3.636580796</v>
      </c>
      <c r="S104" s="17">
        <f t="shared" si="86"/>
        <v>9.95078964</v>
      </c>
      <c r="T104" s="17">
        <f t="shared" si="86"/>
        <v>3.330425</v>
      </c>
    </row>
    <row r="105">
      <c r="A105" s="11">
        <v>45839.0</v>
      </c>
      <c r="B105" s="12">
        <v>12.0</v>
      </c>
      <c r="C105" s="13">
        <v>56.0</v>
      </c>
      <c r="D105" s="14">
        <v>130.0</v>
      </c>
      <c r="E105" s="14">
        <v>141.0</v>
      </c>
      <c r="F105" s="13">
        <v>38.1</v>
      </c>
      <c r="G105" s="14">
        <v>158.3</v>
      </c>
      <c r="H105" s="14">
        <v>40.0</v>
      </c>
      <c r="I105" s="15">
        <v>60.00019</v>
      </c>
      <c r="J105" s="15">
        <v>131.0432</v>
      </c>
      <c r="K105" s="15">
        <v>128.8928</v>
      </c>
      <c r="L105" s="15">
        <v>40.82008</v>
      </c>
      <c r="M105" s="15">
        <v>142.9465</v>
      </c>
      <c r="N105" s="15">
        <v>41.18605</v>
      </c>
      <c r="O105" s="16">
        <f t="shared" ref="O105:T105" si="87"> ABS(C105-I105)*100/C105</f>
        <v>7.143196429</v>
      </c>
      <c r="P105" s="17">
        <f t="shared" si="87"/>
        <v>0.8024615385</v>
      </c>
      <c r="Q105" s="17">
        <f t="shared" si="87"/>
        <v>8.586666667</v>
      </c>
      <c r="R105" s="17">
        <f t="shared" si="87"/>
        <v>7.139317585</v>
      </c>
      <c r="S105" s="17">
        <f t="shared" si="87"/>
        <v>9.698989261</v>
      </c>
      <c r="T105" s="17">
        <f t="shared" si="87"/>
        <v>2.965125</v>
      </c>
    </row>
    <row r="106">
      <c r="A106" s="11">
        <v>45839.0</v>
      </c>
      <c r="B106" s="12">
        <v>13.0</v>
      </c>
      <c r="C106" s="13">
        <v>60.0</v>
      </c>
      <c r="D106" s="14">
        <v>130.0</v>
      </c>
      <c r="E106" s="14">
        <v>141.0</v>
      </c>
      <c r="F106" s="13">
        <v>41.8</v>
      </c>
      <c r="G106" s="14">
        <v>158.3</v>
      </c>
      <c r="H106" s="14">
        <v>40.0</v>
      </c>
      <c r="I106" s="15">
        <v>59.74858</v>
      </c>
      <c r="J106" s="15">
        <v>131.8695</v>
      </c>
      <c r="K106" s="15">
        <v>129.0533</v>
      </c>
      <c r="L106" s="15">
        <v>41.09744</v>
      </c>
      <c r="M106" s="15">
        <v>145.6337</v>
      </c>
      <c r="N106" s="15">
        <v>41.52313</v>
      </c>
      <c r="O106" s="16">
        <f t="shared" ref="O106:T106" si="88"> ABS(C106-I106)*100/C106</f>
        <v>0.4190333333</v>
      </c>
      <c r="P106" s="17">
        <f t="shared" si="88"/>
        <v>1.438076923</v>
      </c>
      <c r="Q106" s="17">
        <f t="shared" si="88"/>
        <v>8.472836879</v>
      </c>
      <c r="R106" s="17">
        <f t="shared" si="88"/>
        <v>1.68076555</v>
      </c>
      <c r="S106" s="17">
        <f t="shared" si="88"/>
        <v>8.001452937</v>
      </c>
      <c r="T106" s="17">
        <f t="shared" si="88"/>
        <v>3.807825</v>
      </c>
    </row>
    <row r="107">
      <c r="A107" s="11">
        <v>45839.0</v>
      </c>
      <c r="B107" s="12">
        <v>14.0</v>
      </c>
      <c r="C107" s="13">
        <v>55.0</v>
      </c>
      <c r="D107" s="14">
        <v>130.0</v>
      </c>
      <c r="E107" s="14">
        <v>141.0</v>
      </c>
      <c r="F107" s="13">
        <v>40.3</v>
      </c>
      <c r="G107" s="14">
        <v>158.3</v>
      </c>
      <c r="H107" s="14">
        <v>40.0</v>
      </c>
      <c r="I107" s="15">
        <v>59.71821</v>
      </c>
      <c r="J107" s="15">
        <v>132.0544</v>
      </c>
      <c r="K107" s="15">
        <v>129.4479</v>
      </c>
      <c r="L107" s="15">
        <v>40.72927</v>
      </c>
      <c r="M107" s="15">
        <v>147.5736</v>
      </c>
      <c r="N107" s="15">
        <v>40.89436</v>
      </c>
      <c r="O107" s="16">
        <f t="shared" ref="O107:T107" si="89"> ABS(C107-I107)*100/C107</f>
        <v>8.578563636</v>
      </c>
      <c r="P107" s="17">
        <f t="shared" si="89"/>
        <v>1.580307692</v>
      </c>
      <c r="Q107" s="17">
        <f t="shared" si="89"/>
        <v>8.192978723</v>
      </c>
      <c r="R107" s="17">
        <f t="shared" si="89"/>
        <v>1.065186104</v>
      </c>
      <c r="S107" s="17">
        <f t="shared" si="89"/>
        <v>6.775994946</v>
      </c>
      <c r="T107" s="17">
        <f t="shared" si="89"/>
        <v>2.2359</v>
      </c>
    </row>
    <row r="108">
      <c r="A108" s="11">
        <v>45839.0</v>
      </c>
      <c r="B108" s="12">
        <v>15.0</v>
      </c>
      <c r="C108" s="13">
        <v>62.0</v>
      </c>
      <c r="D108" s="14">
        <v>130.0</v>
      </c>
      <c r="E108" s="14">
        <v>141.0</v>
      </c>
      <c r="F108" s="13">
        <v>43.3</v>
      </c>
      <c r="G108" s="14">
        <v>158.3</v>
      </c>
      <c r="H108" s="14">
        <v>40.0</v>
      </c>
      <c r="I108" s="15">
        <v>59.50918</v>
      </c>
      <c r="J108" s="15">
        <v>132.1806</v>
      </c>
      <c r="K108" s="15">
        <v>129.505</v>
      </c>
      <c r="L108" s="15">
        <v>40.57995</v>
      </c>
      <c r="M108" s="15">
        <v>147.3116</v>
      </c>
      <c r="N108" s="15">
        <v>41.02584</v>
      </c>
      <c r="O108" s="16">
        <f t="shared" ref="O108:T108" si="90"> ABS(C108-I108)*100/C108</f>
        <v>4.017451613</v>
      </c>
      <c r="P108" s="17">
        <f t="shared" si="90"/>
        <v>1.677384615</v>
      </c>
      <c r="Q108" s="17">
        <f t="shared" si="90"/>
        <v>8.15248227</v>
      </c>
      <c r="R108" s="17">
        <f t="shared" si="90"/>
        <v>6.28187067</v>
      </c>
      <c r="S108" s="17">
        <f t="shared" si="90"/>
        <v>6.941503474</v>
      </c>
      <c r="T108" s="17">
        <f t="shared" si="90"/>
        <v>2.5646</v>
      </c>
    </row>
    <row r="109">
      <c r="A109" s="11">
        <v>45839.0</v>
      </c>
      <c r="B109" s="12">
        <v>16.0</v>
      </c>
      <c r="C109" s="13">
        <v>57.0</v>
      </c>
      <c r="D109" s="14">
        <v>130.0</v>
      </c>
      <c r="E109" s="14">
        <v>138.0</v>
      </c>
      <c r="F109" s="13">
        <v>40.7</v>
      </c>
      <c r="G109" s="14">
        <v>158.3</v>
      </c>
      <c r="H109" s="14">
        <v>40.0</v>
      </c>
      <c r="I109" s="15">
        <v>59.52576</v>
      </c>
      <c r="J109" s="15">
        <v>132.4954</v>
      </c>
      <c r="K109" s="15">
        <v>129.5282</v>
      </c>
      <c r="L109" s="15">
        <v>40.85525</v>
      </c>
      <c r="M109" s="15">
        <v>147.4726</v>
      </c>
      <c r="N109" s="15">
        <v>40.49376</v>
      </c>
      <c r="O109" s="16">
        <f t="shared" ref="O109:T109" si="91"> ABS(C109-I109)*100/C109</f>
        <v>4.431157895</v>
      </c>
      <c r="P109" s="17">
        <f t="shared" si="91"/>
        <v>1.919538462</v>
      </c>
      <c r="Q109" s="17">
        <f t="shared" si="91"/>
        <v>6.138985507</v>
      </c>
      <c r="R109" s="17">
        <f t="shared" si="91"/>
        <v>0.3814496314</v>
      </c>
      <c r="S109" s="17">
        <f t="shared" si="91"/>
        <v>6.839797852</v>
      </c>
      <c r="T109" s="17">
        <f t="shared" si="91"/>
        <v>1.2344</v>
      </c>
    </row>
    <row r="110">
      <c r="A110" s="11">
        <v>45839.0</v>
      </c>
      <c r="B110" s="12">
        <v>17.0</v>
      </c>
      <c r="C110" s="13">
        <v>55.0</v>
      </c>
      <c r="D110" s="14">
        <v>130.0</v>
      </c>
      <c r="E110" s="14">
        <v>138.0</v>
      </c>
      <c r="F110" s="13">
        <v>38.4</v>
      </c>
      <c r="G110" s="14">
        <v>158.3</v>
      </c>
      <c r="H110" s="14">
        <v>36.0</v>
      </c>
      <c r="I110" s="15">
        <v>59.54958</v>
      </c>
      <c r="J110" s="15">
        <v>133.3571</v>
      </c>
      <c r="K110" s="15">
        <v>129.4983</v>
      </c>
      <c r="L110" s="15">
        <v>40.90044</v>
      </c>
      <c r="M110" s="15">
        <v>147.5061</v>
      </c>
      <c r="N110" s="15">
        <v>41.00834</v>
      </c>
      <c r="O110" s="16">
        <f t="shared" ref="O110:T110" si="92"> ABS(C110-I110)*100/C110</f>
        <v>8.271963636</v>
      </c>
      <c r="P110" s="17">
        <f t="shared" si="92"/>
        <v>2.582384615</v>
      </c>
      <c r="Q110" s="17">
        <f t="shared" si="92"/>
        <v>6.160652174</v>
      </c>
      <c r="R110" s="17">
        <f t="shared" si="92"/>
        <v>6.5115625</v>
      </c>
      <c r="S110" s="17">
        <f t="shared" si="92"/>
        <v>6.818635502</v>
      </c>
      <c r="T110" s="17">
        <f t="shared" si="92"/>
        <v>13.91205556</v>
      </c>
    </row>
    <row r="111">
      <c r="A111" s="11">
        <v>45839.0</v>
      </c>
      <c r="B111" s="12">
        <v>18.0</v>
      </c>
      <c r="C111" s="13">
        <v>63.0</v>
      </c>
      <c r="D111" s="14">
        <v>130.0</v>
      </c>
      <c r="E111" s="14">
        <v>138.0</v>
      </c>
      <c r="F111" s="13">
        <v>43.1</v>
      </c>
      <c r="G111" s="14">
        <v>158.3</v>
      </c>
      <c r="H111" s="14">
        <v>36.0</v>
      </c>
      <c r="I111" s="15">
        <v>59.66314</v>
      </c>
      <c r="J111" s="15">
        <v>132.5397</v>
      </c>
      <c r="K111" s="15">
        <v>129.5739</v>
      </c>
      <c r="L111" s="15">
        <v>40.72413</v>
      </c>
      <c r="M111" s="15">
        <v>148.2625</v>
      </c>
      <c r="N111" s="15">
        <v>41.49074</v>
      </c>
      <c r="O111" s="16">
        <f t="shared" ref="O111:T111" si="93"> ABS(C111-I111)*100/C111</f>
        <v>5.296603175</v>
      </c>
      <c r="P111" s="17">
        <f t="shared" si="93"/>
        <v>1.953615385</v>
      </c>
      <c r="Q111" s="17">
        <f t="shared" si="93"/>
        <v>6.105869565</v>
      </c>
      <c r="R111" s="17">
        <f t="shared" si="93"/>
        <v>5.512459397</v>
      </c>
      <c r="S111" s="17">
        <f t="shared" si="93"/>
        <v>6.340808591</v>
      </c>
      <c r="T111" s="17">
        <f t="shared" si="93"/>
        <v>15.25205556</v>
      </c>
    </row>
    <row r="112">
      <c r="A112" s="11">
        <v>45839.0</v>
      </c>
      <c r="B112" s="12">
        <v>19.0</v>
      </c>
      <c r="C112" s="13">
        <v>62.0</v>
      </c>
      <c r="D112" s="14">
        <v>130.0</v>
      </c>
      <c r="E112" s="14">
        <v>138.0</v>
      </c>
      <c r="F112" s="13">
        <v>44.6</v>
      </c>
      <c r="G112" s="14">
        <v>158.3</v>
      </c>
      <c r="H112" s="14">
        <v>40.0</v>
      </c>
      <c r="I112" s="15">
        <v>59.54645</v>
      </c>
      <c r="J112" s="15">
        <v>132.3732</v>
      </c>
      <c r="K112" s="15">
        <v>129.7718</v>
      </c>
      <c r="L112" s="15">
        <v>40.92456</v>
      </c>
      <c r="M112" s="15">
        <v>146.1975</v>
      </c>
      <c r="N112" s="15">
        <v>41.56675</v>
      </c>
      <c r="O112" s="16">
        <f t="shared" ref="O112:T112" si="94"> ABS(C112-I112)*100/C112</f>
        <v>3.95733871</v>
      </c>
      <c r="P112" s="17">
        <f t="shared" si="94"/>
        <v>1.825538462</v>
      </c>
      <c r="Q112" s="17">
        <f t="shared" si="94"/>
        <v>5.962463768</v>
      </c>
      <c r="R112" s="17">
        <f t="shared" si="94"/>
        <v>8.240896861</v>
      </c>
      <c r="S112" s="17">
        <f t="shared" si="94"/>
        <v>7.645293746</v>
      </c>
      <c r="T112" s="17">
        <f t="shared" si="94"/>
        <v>3.916875</v>
      </c>
    </row>
    <row r="113">
      <c r="A113" s="11">
        <v>45839.0</v>
      </c>
      <c r="B113" s="12">
        <v>20.0</v>
      </c>
      <c r="C113" s="13">
        <v>62.0</v>
      </c>
      <c r="D113" s="14">
        <v>130.0</v>
      </c>
      <c r="E113" s="14">
        <v>138.0</v>
      </c>
      <c r="F113" s="13">
        <v>43.0</v>
      </c>
      <c r="G113" s="14">
        <v>158.3</v>
      </c>
      <c r="H113" s="14">
        <v>40.0</v>
      </c>
      <c r="I113" s="15">
        <v>59.43081</v>
      </c>
      <c r="J113" s="15">
        <v>133.7317</v>
      </c>
      <c r="K113" s="15">
        <v>129.7755</v>
      </c>
      <c r="L113" s="15">
        <v>40.91339</v>
      </c>
      <c r="M113" s="15">
        <v>145.7169</v>
      </c>
      <c r="N113" s="15">
        <v>41.39999</v>
      </c>
      <c r="O113" s="16">
        <f t="shared" ref="O113:T113" si="95"> ABS(C113-I113)*100/C113</f>
        <v>4.143854839</v>
      </c>
      <c r="P113" s="17">
        <f t="shared" si="95"/>
        <v>2.870538462</v>
      </c>
      <c r="Q113" s="17">
        <f t="shared" si="95"/>
        <v>5.959782609</v>
      </c>
      <c r="R113" s="17">
        <f t="shared" si="95"/>
        <v>4.852581395</v>
      </c>
      <c r="S113" s="17">
        <f t="shared" si="95"/>
        <v>7.948894504</v>
      </c>
      <c r="T113" s="17">
        <f t="shared" si="95"/>
        <v>3.499975</v>
      </c>
    </row>
    <row r="114">
      <c r="A114" s="11">
        <v>45839.0</v>
      </c>
      <c r="B114" s="12">
        <v>21.0</v>
      </c>
      <c r="C114" s="13">
        <v>55.0</v>
      </c>
      <c r="D114" s="14">
        <v>130.0</v>
      </c>
      <c r="E114" s="14">
        <v>138.0</v>
      </c>
      <c r="F114" s="13">
        <v>38.0</v>
      </c>
      <c r="G114" s="14">
        <v>158.3</v>
      </c>
      <c r="H114" s="14">
        <v>40.0</v>
      </c>
      <c r="I114" s="15">
        <v>59.44202</v>
      </c>
      <c r="J114" s="15">
        <v>133.7658</v>
      </c>
      <c r="K114" s="15">
        <v>129.862</v>
      </c>
      <c r="L114" s="15">
        <v>40.89673</v>
      </c>
      <c r="M114" s="15">
        <v>146.6753</v>
      </c>
      <c r="N114" s="15">
        <v>41.28983</v>
      </c>
      <c r="O114" s="16">
        <f t="shared" ref="O114:T114" si="96"> ABS(C114-I114)*100/C114</f>
        <v>8.0764</v>
      </c>
      <c r="P114" s="17">
        <f t="shared" si="96"/>
        <v>2.896769231</v>
      </c>
      <c r="Q114" s="17">
        <f t="shared" si="96"/>
        <v>5.897101449</v>
      </c>
      <c r="R114" s="17">
        <f t="shared" si="96"/>
        <v>7.622973684</v>
      </c>
      <c r="S114" s="17">
        <f t="shared" si="96"/>
        <v>7.343461781</v>
      </c>
      <c r="T114" s="17">
        <f t="shared" si="96"/>
        <v>3.224575</v>
      </c>
    </row>
    <row r="115">
      <c r="A115" s="11">
        <v>45839.0</v>
      </c>
      <c r="B115" s="12">
        <v>22.0</v>
      </c>
      <c r="C115" s="13">
        <v>63.0</v>
      </c>
      <c r="D115" s="14">
        <v>130.0</v>
      </c>
      <c r="E115" s="14">
        <v>138.0</v>
      </c>
      <c r="F115" s="13">
        <v>47.2</v>
      </c>
      <c r="G115" s="14">
        <v>158.3</v>
      </c>
      <c r="H115" s="14">
        <v>40.0</v>
      </c>
      <c r="I115" s="15">
        <v>59.49635</v>
      </c>
      <c r="J115" s="15">
        <v>133.9977</v>
      </c>
      <c r="K115" s="15">
        <v>130.0733</v>
      </c>
      <c r="L115" s="15">
        <v>40.97967</v>
      </c>
      <c r="M115" s="15">
        <v>147.8409</v>
      </c>
      <c r="N115" s="15">
        <v>41.33889</v>
      </c>
      <c r="O115" s="16">
        <f t="shared" ref="O115:T115" si="97"> ABS(C115-I115)*100/C115</f>
        <v>5.561349206</v>
      </c>
      <c r="P115" s="17">
        <f t="shared" si="97"/>
        <v>3.075153846</v>
      </c>
      <c r="Q115" s="17">
        <f t="shared" si="97"/>
        <v>5.743985507</v>
      </c>
      <c r="R115" s="17">
        <f t="shared" si="97"/>
        <v>13.17866525</v>
      </c>
      <c r="S115" s="17">
        <f t="shared" si="97"/>
        <v>6.607138345</v>
      </c>
      <c r="T115" s="17">
        <f t="shared" si="97"/>
        <v>3.347225</v>
      </c>
    </row>
    <row r="116">
      <c r="A116" s="11">
        <v>45839.0</v>
      </c>
      <c r="B116" s="12">
        <v>23.0</v>
      </c>
      <c r="C116" s="13">
        <v>56.0</v>
      </c>
      <c r="D116" s="14">
        <v>130.0</v>
      </c>
      <c r="E116" s="14">
        <v>138.0</v>
      </c>
      <c r="F116" s="13">
        <v>47.1</v>
      </c>
      <c r="G116" s="14">
        <v>158.3</v>
      </c>
      <c r="H116" s="14">
        <v>40.0</v>
      </c>
      <c r="I116" s="15">
        <v>59.40323</v>
      </c>
      <c r="J116" s="15">
        <v>133.4948</v>
      </c>
      <c r="K116" s="15">
        <v>130.4594</v>
      </c>
      <c r="L116" s="15">
        <v>41.13283</v>
      </c>
      <c r="M116" s="15">
        <v>147.4618</v>
      </c>
      <c r="N116" s="15">
        <v>40.47968</v>
      </c>
      <c r="O116" s="16">
        <f t="shared" ref="O116:T116" si="98"> ABS(C116-I116)*100/C116</f>
        <v>6.077196429</v>
      </c>
      <c r="P116" s="17">
        <f t="shared" si="98"/>
        <v>2.688307692</v>
      </c>
      <c r="Q116" s="17">
        <f t="shared" si="98"/>
        <v>5.464202899</v>
      </c>
      <c r="R116" s="17">
        <f t="shared" si="98"/>
        <v>12.66915074</v>
      </c>
      <c r="S116" s="17">
        <f t="shared" si="98"/>
        <v>6.846620341</v>
      </c>
      <c r="T116" s="17">
        <f t="shared" si="98"/>
        <v>1.1992</v>
      </c>
    </row>
    <row r="117">
      <c r="A117" s="11">
        <v>45839.0</v>
      </c>
      <c r="B117" s="12">
        <v>24.0</v>
      </c>
      <c r="C117" s="13">
        <v>64.0</v>
      </c>
      <c r="D117" s="14">
        <v>130.0</v>
      </c>
      <c r="E117" s="14">
        <v>138.0</v>
      </c>
      <c r="F117" s="13">
        <v>47.2</v>
      </c>
      <c r="G117" s="14">
        <v>158.3</v>
      </c>
      <c r="H117" s="14">
        <v>40.0</v>
      </c>
      <c r="I117" s="15">
        <v>59.46295</v>
      </c>
      <c r="J117" s="15">
        <v>131.9641</v>
      </c>
      <c r="K117" s="15">
        <v>131.4076</v>
      </c>
      <c r="L117" s="15">
        <v>40.99962</v>
      </c>
      <c r="M117" s="15">
        <v>148.0511</v>
      </c>
      <c r="N117" s="15">
        <v>40.86856</v>
      </c>
      <c r="O117" s="16">
        <f t="shared" ref="O117:T117" si="99"> ABS(C117-I117)*100/C117</f>
        <v>7.089140625</v>
      </c>
      <c r="P117" s="17">
        <f t="shared" si="99"/>
        <v>1.510846154</v>
      </c>
      <c r="Q117" s="17">
        <f t="shared" si="99"/>
        <v>4.777101449</v>
      </c>
      <c r="R117" s="17">
        <f t="shared" si="99"/>
        <v>13.13639831</v>
      </c>
      <c r="S117" s="17">
        <f t="shared" si="99"/>
        <v>6.474352495</v>
      </c>
      <c r="T117" s="17">
        <f t="shared" si="99"/>
        <v>2.1714</v>
      </c>
    </row>
    <row r="118">
      <c r="N118" s="18" t="s">
        <v>23</v>
      </c>
      <c r="O118" s="19">
        <f t="shared" ref="O118:T118" si="100">AVERAGE(O94:O117)</f>
        <v>4.516721512</v>
      </c>
      <c r="P118" s="19">
        <f t="shared" si="100"/>
        <v>1.345766026</v>
      </c>
      <c r="Q118" s="19">
        <f t="shared" si="100"/>
        <v>6.15666384</v>
      </c>
      <c r="R118" s="19">
        <f t="shared" si="100"/>
        <v>7.621426249</v>
      </c>
      <c r="S118" s="19">
        <f t="shared" si="100"/>
        <v>8.049139292</v>
      </c>
      <c r="T118" s="19">
        <f t="shared" si="100"/>
        <v>4.320153683</v>
      </c>
    </row>
  </sheetData>
  <mergeCells count="12">
    <mergeCell ref="I59:N59"/>
    <mergeCell ref="O59:T59"/>
    <mergeCell ref="C92:H92"/>
    <mergeCell ref="I92:N92"/>
    <mergeCell ref="O92:T92"/>
    <mergeCell ref="C1:H1"/>
    <mergeCell ref="I1:N1"/>
    <mergeCell ref="O1:T1"/>
    <mergeCell ref="C30:J30"/>
    <mergeCell ref="K30:R30"/>
    <mergeCell ref="S30:Z30"/>
    <mergeCell ref="C59:H59"/>
  </mergeCells>
  <drawing r:id="rId1"/>
</worksheet>
</file>